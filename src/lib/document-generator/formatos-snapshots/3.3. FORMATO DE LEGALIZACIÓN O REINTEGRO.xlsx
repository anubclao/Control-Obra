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qmi\OneDrive - Marzo Triangular S.A.S\Escritorio\VARIOS MT\0. FORMATOS\"/>
    </mc:Choice>
  </mc:AlternateContent>
  <xr:revisionPtr revIDLastSave="0" documentId="8_{D81922E3-D9A1-46E6-BD1D-9E31C49B2EC0}" xr6:coauthVersionLast="47" xr6:coauthVersionMax="47" xr10:uidLastSave="{00000000-0000-0000-0000-000000000000}"/>
  <bookViews>
    <workbookView xWindow="-120" yWindow="-120" windowWidth="29040" windowHeight="15720" xr2:uid="{B17669C1-EC32-420D-AC8A-38D3CFBE625B}"/>
  </bookViews>
  <sheets>
    <sheet name="LEGALIZACIÓN-REINTEGR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" l="1"/>
  <c r="H15" i="2"/>
  <c r="H16" i="2" s="1"/>
  <c r="H11" i="2"/>
  <c r="H8" i="2"/>
  <c r="H9" i="2"/>
  <c r="H10" i="2"/>
  <c r="H12" i="2"/>
  <c r="H13" i="2"/>
  <c r="H14" i="2"/>
  <c r="H7" i="2"/>
  <c r="G16" i="2" l="1"/>
</calcChain>
</file>

<file path=xl/sharedStrings.xml><?xml version="1.0" encoding="utf-8"?>
<sst xmlns="http://schemas.openxmlformats.org/spreadsheetml/2006/main" count="65" uniqueCount="43">
  <si>
    <t>FECHA</t>
  </si>
  <si>
    <t xml:space="preserve">NOMBRE FUNCIONARIO </t>
  </si>
  <si>
    <t>CARGO :</t>
  </si>
  <si>
    <t>EMPRESA:</t>
  </si>
  <si>
    <t>VALOR</t>
  </si>
  <si>
    <t xml:space="preserve">VALOR </t>
  </si>
  <si>
    <t>PROVEEDOR</t>
  </si>
  <si>
    <t>CC/NIT</t>
  </si>
  <si>
    <t>CENTRO DE COSTO</t>
  </si>
  <si>
    <t>DESCRIPCION DEL GASTO</t>
  </si>
  <si>
    <t xml:space="preserve">UNITARIO </t>
  </si>
  <si>
    <t>IVA 19%</t>
  </si>
  <si>
    <t xml:space="preserve">PAGO CON TARJETA </t>
  </si>
  <si>
    <t xml:space="preserve">REALIZADO POR </t>
  </si>
  <si>
    <t>REVISADO POR</t>
  </si>
  <si>
    <t>APROBADO POR</t>
  </si>
  <si>
    <t>NO</t>
  </si>
  <si>
    <t xml:space="preserve"> LEGALIZACIÓN y/o REINTEGRO DE VIATICOS Y OTROS PROYECTO</t>
  </si>
  <si>
    <t xml:space="preserve">LEGALIZACIÓN DE GASTOS </t>
  </si>
  <si>
    <t>ARQUITECTO APOYO</t>
  </si>
  <si>
    <t>CONSORCIO VIAS ARACATACA</t>
  </si>
  <si>
    <t>MIGUEL MORANTES</t>
  </si>
  <si>
    <t>YUMA CONCESIONARIA S.A.</t>
  </si>
  <si>
    <t>PEAJE DE SANTA MARTA HACIA ARACATACA</t>
  </si>
  <si>
    <t>RESTAURANTE ZONA FRANCA</t>
  </si>
  <si>
    <t>ALMUERZOS (02)</t>
  </si>
  <si>
    <t xml:space="preserve">PEAJE DEARACATACA HACIA SANTA MARTA </t>
  </si>
  <si>
    <t>900,860,284-9</t>
  </si>
  <si>
    <t>BBI COLOMBIA S.A.S</t>
  </si>
  <si>
    <t>TRANSPORTE HASTA EL AEROPUERTO DE CALI (SALIDA 2:30 AM)</t>
  </si>
  <si>
    <t>RESTCAFE S.A.S</t>
  </si>
  <si>
    <t>800,213,075-9</t>
  </si>
  <si>
    <t>CENA EN "OMA" AEROPUERTO DE SANTA MARTA</t>
  </si>
  <si>
    <t>DESAYUNO EN "TOSTAO"  AEROPUERTO DE SANTA MARTA</t>
  </si>
  <si>
    <t>1,082,895,623-3</t>
  </si>
  <si>
    <t>900,373,092-2</t>
  </si>
  <si>
    <t>TRANSPORTE DESDE EL AEROPUERTO DE CALI (SALIDA 11:25 PM)</t>
  </si>
  <si>
    <t>IMPRESIÓN DERECHO DE PETICIÓN</t>
  </si>
  <si>
    <t>NOTA 01: SE RECIBIERON VIATICOS POR VALOR DE $ 300.000(TRESCIENTOS MIL PESOS MTCE)</t>
  </si>
  <si>
    <t>29 al 30 DE NOVIEMBRE DE 2023</t>
  </si>
  <si>
    <t>JULIA NARANJO</t>
  </si>
  <si>
    <t>DEVOLUCIÓN DE SALDO A FAVOR</t>
  </si>
  <si>
    <t>NOTA 02: SE ANEXA SOPORTE DE LA TRANSACCIÓN DEL ANTICIPO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</si>
</sst>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#,##0.0"/>
    <numFmt numFmtId="165" formatCode="&quot;$&quot;\ #,##0"/>
    <numFmt numFmtId="166" formatCode="dd\-mm\-yy;@"/>
    <numFmt numFmtId="167" formatCode="_-&quot;$&quot;\ * #,##0_-;\-&quot;$&quot;\ * #,##0_-;_-&quot;$&quot;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sz val="16"/>
      <color theme="1"/>
      <name val="Arial"/>
      <family val="2"/>
    </font>
    <font>
      <sz val="20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20"/>
      <color theme="1"/>
      <name val="Arial"/>
      <family val="2"/>
    </font>
    <font>
      <i/>
      <sz val="16"/>
      <color theme="1"/>
      <name val="Arial"/>
      <family val="2"/>
    </font>
    <font>
      <b/>
      <sz val="14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3">
    <xf numFmtId="0" fontId="0" fillId="0" borderId="0" xfId="0"/>
    <xf numFmtId="0" fontId="5" fillId="0" borderId="0" xfId="0" applyFont="1"/>
    <xf numFmtId="165" fontId="0" fillId="0" borderId="0" xfId="0" applyNumberFormat="1"/>
    <xf numFmtId="166" fontId="3" fillId="0" borderId="13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66" fontId="3" fillId="0" borderId="14" xfId="0" applyNumberFormat="1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3" fontId="3" fillId="0" borderId="10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right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67" fontId="3" fillId="0" borderId="10" xfId="1" applyNumberFormat="1" applyFont="1" applyBorder="1" applyAlignment="1">
      <alignment horizontal="center" vertical="center"/>
    </xf>
    <xf numFmtId="167" fontId="3" fillId="0" borderId="10" xfId="1" applyNumberFormat="1" applyFont="1" applyBorder="1" applyAlignment="1">
      <alignment vertical="center" wrapText="1"/>
    </xf>
    <xf numFmtId="167" fontId="3" fillId="0" borderId="10" xfId="1" applyNumberFormat="1" applyFont="1" applyBorder="1" applyAlignment="1">
      <alignment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167" fontId="3" fillId="0" borderId="15" xfId="1" applyNumberFormat="1" applyFont="1" applyBorder="1" applyAlignment="1">
      <alignment vertical="center" wrapText="1"/>
    </xf>
    <xf numFmtId="167" fontId="3" fillId="0" borderId="15" xfId="1" applyNumberFormat="1" applyFont="1" applyBorder="1" applyAlignment="1">
      <alignment vertical="center"/>
    </xf>
    <xf numFmtId="167" fontId="3" fillId="0" borderId="15" xfId="1" applyNumberFormat="1" applyFont="1" applyBorder="1" applyAlignment="1">
      <alignment horizontal="center" vertical="center"/>
    </xf>
    <xf numFmtId="167" fontId="6" fillId="0" borderId="18" xfId="1" applyNumberFormat="1" applyFont="1" applyBorder="1" applyAlignment="1">
      <alignment horizontal="center" vertical="center"/>
    </xf>
    <xf numFmtId="164" fontId="7" fillId="0" borderId="19" xfId="0" applyNumberFormat="1" applyFont="1" applyBorder="1" applyAlignment="1">
      <alignment horizontal="center" vertical="center"/>
    </xf>
    <xf numFmtId="164" fontId="8" fillId="0" borderId="13" xfId="0" applyNumberFormat="1" applyFont="1" applyBorder="1" applyAlignment="1">
      <alignment horizontal="center" vertical="center"/>
    </xf>
    <xf numFmtId="164" fontId="8" fillId="0" borderId="14" xfId="0" applyNumberFormat="1" applyFont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8" xfId="0" applyBorder="1" applyAlignment="1">
      <alignment vertical="center"/>
    </xf>
    <xf numFmtId="167" fontId="0" fillId="0" borderId="0" xfId="0" applyNumberFormat="1"/>
    <xf numFmtId="166" fontId="3" fillId="0" borderId="24" xfId="0" applyNumberFormat="1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3" fontId="3" fillId="0" borderId="17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164" fontId="3" fillId="0" borderId="17" xfId="0" applyNumberFormat="1" applyFont="1" applyBorder="1" applyAlignment="1">
      <alignment horizontal="center" vertical="center" wrapText="1"/>
    </xf>
    <xf numFmtId="44" fontId="3" fillId="0" borderId="17" xfId="1" applyFont="1" applyBorder="1" applyAlignment="1">
      <alignment vertical="center" wrapText="1"/>
    </xf>
    <xf numFmtId="44" fontId="3" fillId="0" borderId="17" xfId="1" applyFont="1" applyBorder="1" applyAlignment="1">
      <alignment vertical="center"/>
    </xf>
    <xf numFmtId="167" fontId="3" fillId="0" borderId="17" xfId="1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6" fillId="0" borderId="20" xfId="0" applyNumberFormat="1" applyFont="1" applyBorder="1" applyAlignment="1">
      <alignment horizontal="center" vertical="center"/>
    </xf>
    <xf numFmtId="165" fontId="6" fillId="0" borderId="21" xfId="0" applyNumberFormat="1" applyFont="1" applyBorder="1" applyAlignment="1">
      <alignment horizontal="center" vertical="center"/>
    </xf>
    <xf numFmtId="165" fontId="9" fillId="0" borderId="12" xfId="0" applyNumberFormat="1" applyFont="1" applyBorder="1" applyAlignment="1">
      <alignment horizontal="center" vertical="center"/>
    </xf>
    <xf numFmtId="165" fontId="9" fillId="0" borderId="22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503A-47C0-4A27-834D-C9C36D28669A}">
  <sheetPr>
    <pageSetUpPr fitToPage="1"/>
  </sheetPr>
  <dimension ref="A1:I24"/>
  <sheetViews>
    <sheetView tabSelected="1" topLeftCell="A10" zoomScale="85" zoomScaleNormal="85" workbookViewId="0">
      <selection activeCell="A17" sqref="A17:A18"/>
    </sheetView>
  </sheetViews>
  <sheetFormatPr baseColWidth="10" defaultRowHeight="15" x14ac:dyDescent="0.25"/>
  <cols>
    <col min="1" max="1" width="33.85546875" customWidth="1"/>
    <col min="2" max="2" width="39.140625" customWidth="1"/>
    <col min="3" max="3" width="27.7109375" customWidth="1"/>
    <col min="4" max="4" width="33.85546875" customWidth="1"/>
    <col min="5" max="5" width="49.42578125" customWidth="1"/>
    <col min="6" max="6" width="24.5703125" customWidth="1"/>
    <col min="7" max="7" width="23" customWidth="1"/>
    <col min="8" max="8" width="23.7109375" customWidth="1"/>
    <col min="9" max="9" width="17.5703125" customWidth="1"/>
    <col min="11" max="11" width="17.85546875" customWidth="1"/>
  </cols>
  <sheetData>
    <row r="1" spans="1:9" ht="36" thickBot="1" x14ac:dyDescent="0.3">
      <c r="A1" s="50" t="s">
        <v>17</v>
      </c>
      <c r="B1" s="51"/>
      <c r="C1" s="51"/>
      <c r="D1" s="51"/>
      <c r="E1" s="51"/>
      <c r="F1" s="51"/>
      <c r="G1" s="51"/>
      <c r="H1" s="51"/>
      <c r="I1" s="52"/>
    </row>
    <row r="2" spans="1:9" ht="36" thickBot="1" x14ac:dyDescent="0.3">
      <c r="A2" s="12" t="s">
        <v>0</v>
      </c>
      <c r="B2" s="50" t="s">
        <v>39</v>
      </c>
      <c r="C2" s="51"/>
      <c r="D2" s="51"/>
      <c r="E2" s="52"/>
      <c r="F2" s="53" t="s">
        <v>18</v>
      </c>
      <c r="G2" s="54"/>
      <c r="H2" s="54"/>
      <c r="I2" s="55"/>
    </row>
    <row r="3" spans="1:9" ht="24" thickBot="1" x14ac:dyDescent="0.3">
      <c r="A3" s="56" t="s">
        <v>1</v>
      </c>
      <c r="B3" s="57"/>
      <c r="C3" s="60" t="s">
        <v>21</v>
      </c>
      <c r="D3" s="61"/>
      <c r="E3" s="13" t="s">
        <v>2</v>
      </c>
      <c r="F3" s="64" t="s">
        <v>19</v>
      </c>
      <c r="G3" s="64"/>
      <c r="H3" s="64"/>
      <c r="I3" s="65"/>
    </row>
    <row r="4" spans="1:9" ht="24" thickBot="1" x14ac:dyDescent="0.3">
      <c r="A4" s="58"/>
      <c r="B4" s="59"/>
      <c r="C4" s="62"/>
      <c r="D4" s="63"/>
      <c r="E4" s="13" t="s">
        <v>3</v>
      </c>
      <c r="F4" s="66" t="s">
        <v>20</v>
      </c>
      <c r="G4" s="66"/>
      <c r="H4" s="66"/>
      <c r="I4" s="67"/>
    </row>
    <row r="5" spans="1:9" ht="24" customHeight="1" thickBot="1" x14ac:dyDescent="0.3">
      <c r="A5" s="68"/>
      <c r="B5" s="69"/>
      <c r="C5" s="69"/>
      <c r="D5" s="69"/>
      <c r="E5" s="69"/>
      <c r="F5" s="68" t="s">
        <v>4</v>
      </c>
      <c r="G5" s="70"/>
      <c r="H5" s="71" t="s">
        <v>5</v>
      </c>
      <c r="I5" s="48" t="s">
        <v>12</v>
      </c>
    </row>
    <row r="6" spans="1:9" ht="47.25" thickBot="1" x14ac:dyDescent="0.3">
      <c r="A6" s="40" t="s">
        <v>0</v>
      </c>
      <c r="B6" s="40" t="s">
        <v>6</v>
      </c>
      <c r="C6" s="41" t="s">
        <v>7</v>
      </c>
      <c r="D6" s="42" t="s">
        <v>8</v>
      </c>
      <c r="E6" s="42" t="s">
        <v>9</v>
      </c>
      <c r="F6" s="43" t="s">
        <v>10</v>
      </c>
      <c r="G6" s="40" t="s">
        <v>11</v>
      </c>
      <c r="H6" s="72"/>
      <c r="I6" s="49"/>
    </row>
    <row r="7" spans="1:9" ht="69.75" x14ac:dyDescent="0.25">
      <c r="A7" s="31">
        <v>45259</v>
      </c>
      <c r="B7" s="32" t="s">
        <v>21</v>
      </c>
      <c r="C7" s="33">
        <v>1090453498</v>
      </c>
      <c r="D7" s="34" t="s">
        <v>20</v>
      </c>
      <c r="E7" s="35" t="s">
        <v>29</v>
      </c>
      <c r="F7" s="36">
        <v>70000</v>
      </c>
      <c r="G7" s="37"/>
      <c r="H7" s="38">
        <f>+F7+G7</f>
        <v>70000</v>
      </c>
      <c r="I7" s="39" t="s">
        <v>16</v>
      </c>
    </row>
    <row r="8" spans="1:9" ht="69.75" x14ac:dyDescent="0.25">
      <c r="A8" s="3">
        <v>45259</v>
      </c>
      <c r="B8" s="14" t="s">
        <v>28</v>
      </c>
      <c r="C8" s="10" t="s">
        <v>27</v>
      </c>
      <c r="D8" s="15" t="s">
        <v>20</v>
      </c>
      <c r="E8" s="4" t="s">
        <v>33</v>
      </c>
      <c r="F8" s="17">
        <v>12800</v>
      </c>
      <c r="G8" s="18"/>
      <c r="H8" s="16">
        <f t="shared" ref="H8:H15" si="0">+F8+G8</f>
        <v>12800</v>
      </c>
      <c r="I8" s="5" t="s">
        <v>16</v>
      </c>
    </row>
    <row r="9" spans="1:9" ht="46.5" x14ac:dyDescent="0.25">
      <c r="A9" s="3">
        <v>45259</v>
      </c>
      <c r="B9" s="14" t="s">
        <v>22</v>
      </c>
      <c r="C9" s="10" t="s">
        <v>35</v>
      </c>
      <c r="D9" s="15" t="s">
        <v>20</v>
      </c>
      <c r="E9" s="4" t="s">
        <v>23</v>
      </c>
      <c r="F9" s="17">
        <v>9400</v>
      </c>
      <c r="G9" s="18"/>
      <c r="H9" s="16">
        <f t="shared" si="0"/>
        <v>9400</v>
      </c>
      <c r="I9" s="5" t="s">
        <v>16</v>
      </c>
    </row>
    <row r="10" spans="1:9" ht="46.5" x14ac:dyDescent="0.25">
      <c r="A10" s="3">
        <v>45259</v>
      </c>
      <c r="B10" s="14" t="s">
        <v>24</v>
      </c>
      <c r="C10" s="10" t="s">
        <v>34</v>
      </c>
      <c r="D10" s="15" t="s">
        <v>20</v>
      </c>
      <c r="E10" s="4" t="s">
        <v>25</v>
      </c>
      <c r="F10" s="17">
        <v>37000</v>
      </c>
      <c r="G10" s="18"/>
      <c r="H10" s="16">
        <f t="shared" si="0"/>
        <v>37000</v>
      </c>
      <c r="I10" s="5" t="s">
        <v>16</v>
      </c>
    </row>
    <row r="11" spans="1:9" ht="46.5" x14ac:dyDescent="0.25">
      <c r="A11" s="3">
        <v>45259</v>
      </c>
      <c r="B11" s="14" t="s">
        <v>21</v>
      </c>
      <c r="C11" s="10">
        <v>1090453498</v>
      </c>
      <c r="D11" s="15" t="s">
        <v>20</v>
      </c>
      <c r="E11" s="4" t="s">
        <v>37</v>
      </c>
      <c r="F11" s="17">
        <v>3900</v>
      </c>
      <c r="G11" s="18"/>
      <c r="H11" s="16">
        <f t="shared" si="0"/>
        <v>3900</v>
      </c>
      <c r="I11" s="5" t="s">
        <v>16</v>
      </c>
    </row>
    <row r="12" spans="1:9" ht="46.5" x14ac:dyDescent="0.25">
      <c r="A12" s="3">
        <v>45259</v>
      </c>
      <c r="B12" s="14" t="s">
        <v>22</v>
      </c>
      <c r="C12" s="10" t="s">
        <v>35</v>
      </c>
      <c r="D12" s="15" t="s">
        <v>20</v>
      </c>
      <c r="E12" s="4" t="s">
        <v>26</v>
      </c>
      <c r="F12" s="17">
        <v>9400</v>
      </c>
      <c r="G12" s="18"/>
      <c r="H12" s="16">
        <f t="shared" si="0"/>
        <v>9400</v>
      </c>
      <c r="I12" s="5" t="s">
        <v>16</v>
      </c>
    </row>
    <row r="13" spans="1:9" ht="69.75" x14ac:dyDescent="0.25">
      <c r="A13" s="3">
        <v>45259</v>
      </c>
      <c r="B13" s="14" t="s">
        <v>30</v>
      </c>
      <c r="C13" s="10" t="s">
        <v>31</v>
      </c>
      <c r="D13" s="15" t="s">
        <v>20</v>
      </c>
      <c r="E13" s="4" t="s">
        <v>32</v>
      </c>
      <c r="F13" s="17">
        <v>30500</v>
      </c>
      <c r="G13" s="18"/>
      <c r="H13" s="16">
        <f t="shared" si="0"/>
        <v>30500</v>
      </c>
      <c r="I13" s="5" t="s">
        <v>16</v>
      </c>
    </row>
    <row r="14" spans="1:9" ht="69.75" x14ac:dyDescent="0.25">
      <c r="A14" s="3">
        <v>45259</v>
      </c>
      <c r="B14" s="14" t="s">
        <v>21</v>
      </c>
      <c r="C14" s="10">
        <v>1090453498</v>
      </c>
      <c r="D14" s="15" t="s">
        <v>20</v>
      </c>
      <c r="E14" s="4" t="s">
        <v>36</v>
      </c>
      <c r="F14" s="17">
        <v>60000</v>
      </c>
      <c r="G14" s="18"/>
      <c r="H14" s="16">
        <f t="shared" si="0"/>
        <v>60000</v>
      </c>
      <c r="I14" s="5" t="s">
        <v>16</v>
      </c>
    </row>
    <row r="15" spans="1:9" ht="53.25" customHeight="1" thickBot="1" x14ac:dyDescent="0.3">
      <c r="A15" s="6">
        <v>45260</v>
      </c>
      <c r="B15" s="19" t="s">
        <v>40</v>
      </c>
      <c r="C15" s="11">
        <v>24713295</v>
      </c>
      <c r="D15" s="20"/>
      <c r="E15" s="7" t="s">
        <v>41</v>
      </c>
      <c r="F15" s="21">
        <v>67000</v>
      </c>
      <c r="G15" s="22"/>
      <c r="H15" s="23">
        <f t="shared" si="0"/>
        <v>67000</v>
      </c>
      <c r="I15" s="8" t="s">
        <v>16</v>
      </c>
    </row>
    <row r="16" spans="1:9" ht="26.25" thickBot="1" x14ac:dyDescent="0.35">
      <c r="A16" s="1"/>
      <c r="B16" s="1"/>
      <c r="C16" s="1"/>
      <c r="D16" s="1"/>
      <c r="E16" s="1"/>
      <c r="F16" s="24">
        <f>SUM(F7:F15)</f>
        <v>300000</v>
      </c>
      <c r="G16" s="24">
        <f>SUM(G7:G14)</f>
        <v>0</v>
      </c>
      <c r="H16" s="24">
        <f>SUM(H7:H15)</f>
        <v>300000</v>
      </c>
      <c r="I16" s="1"/>
    </row>
    <row r="17" spans="1:9" ht="42.75" customHeight="1" x14ac:dyDescent="0.3">
      <c r="A17" s="9" t="s">
        <v>38</v>
      </c>
      <c r="B17" s="1"/>
      <c r="C17" s="1"/>
      <c r="D17" s="1"/>
      <c r="E17" s="1"/>
      <c r="F17" s="25" t="s">
        <v>13</v>
      </c>
      <c r="G17" s="44"/>
      <c r="H17" s="45"/>
      <c r="I17" s="1"/>
    </row>
    <row r="18" spans="1:9" ht="42.75" customHeight="1" x14ac:dyDescent="0.3">
      <c r="A18" s="9" t="s">
        <v>42</v>
      </c>
      <c r="B18" s="1"/>
      <c r="C18" s="1"/>
      <c r="D18" s="1"/>
      <c r="E18" s="1"/>
      <c r="F18" s="26" t="s">
        <v>14</v>
      </c>
      <c r="G18" s="46"/>
      <c r="H18" s="47"/>
      <c r="I18" s="1"/>
    </row>
    <row r="19" spans="1:9" ht="42.75" customHeight="1" thickBot="1" x14ac:dyDescent="0.3">
      <c r="F19" s="27" t="s">
        <v>15</v>
      </c>
      <c r="G19" s="28"/>
      <c r="H19" s="29"/>
    </row>
    <row r="20" spans="1:9" x14ac:dyDescent="0.25">
      <c r="F20" s="2"/>
    </row>
    <row r="24" spans="1:9" x14ac:dyDescent="0.25">
      <c r="G24" s="30"/>
    </row>
  </sheetData>
  <mergeCells count="13">
    <mergeCell ref="G17:H17"/>
    <mergeCell ref="G18:H18"/>
    <mergeCell ref="I5:I6"/>
    <mergeCell ref="A1:I1"/>
    <mergeCell ref="B2:E2"/>
    <mergeCell ref="F2:I2"/>
    <mergeCell ref="A3:B4"/>
    <mergeCell ref="C3:D4"/>
    <mergeCell ref="F3:I3"/>
    <mergeCell ref="F4:I4"/>
    <mergeCell ref="A5:E5"/>
    <mergeCell ref="F5:G5"/>
    <mergeCell ref="H5:H6"/>
  </mergeCells>
  <pageMargins left="0.7" right="0.7" top="0.75" bottom="0.75" header="0.3" footer="0.3"/>
  <pageSetup paperSize="9" scale="4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CF6BF664B0144188C8895058BA4A59" ma:contentTypeVersion="18" ma:contentTypeDescription="Crear nuevo documento." ma:contentTypeScope="" ma:versionID="8bd200bb24f29424b50b9dab8a9c0923">
  <xsd:schema xmlns:xsd="http://www.w3.org/2001/XMLSchema" xmlns:xs="http://www.w3.org/2001/XMLSchema" xmlns:p="http://schemas.microsoft.com/office/2006/metadata/properties" xmlns:ns1="http://schemas.microsoft.com/sharepoint/v3" xmlns:ns2="cf891e8c-9fd6-4c46-9e88-5dc9f2186c6f" xmlns:ns3="9acf8569-bd22-44f4-a5f9-529570a8f79e" targetNamespace="http://schemas.microsoft.com/office/2006/metadata/properties" ma:root="true" ma:fieldsID="775b443b94ceb6d504424b6bf1bfe6a6" ns1:_="" ns2:_="" ns3:_="">
    <xsd:import namespace="http://schemas.microsoft.com/sharepoint/v3"/>
    <xsd:import namespace="cf891e8c-9fd6-4c46-9e88-5dc9f2186c6f"/>
    <xsd:import namespace="9acf8569-bd22-44f4-a5f9-529570a8f7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91e8c-9fd6-4c46-9e88-5dc9f2186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82e40e41-d0f6-407c-a646-b41a5806c8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8569-bd22-44f4-a5f9-529570a8f79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4b69c3c-7362-4328-afdd-79930c68a7e9}" ma:internalName="TaxCatchAll" ma:showField="CatchAllData" ma:web="9acf8569-bd22-44f4-a5f9-529570a8f7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acf8569-bd22-44f4-a5f9-529570a8f79e" xsi:nil="true"/>
    <_ip_UnifiedCompliancePolicyProperties xmlns="http://schemas.microsoft.com/sharepoint/v3" xsi:nil="true"/>
    <lcf76f155ced4ddcb4097134ff3c332f xmlns="cf891e8c-9fd6-4c46-9e88-5dc9f2186c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26080A-DD28-4195-A81F-1E284F2CA7A4}"/>
</file>

<file path=customXml/itemProps2.xml><?xml version="1.0" encoding="utf-8"?>
<ds:datastoreItem xmlns:ds="http://schemas.openxmlformats.org/officeDocument/2006/customXml" ds:itemID="{F937C831-DC8F-471F-8369-B173D0A26149}"/>
</file>

<file path=customXml/itemProps3.xml><?xml version="1.0" encoding="utf-8"?>
<ds:datastoreItem xmlns:ds="http://schemas.openxmlformats.org/officeDocument/2006/customXml" ds:itemID="{AB2E2CDD-A166-49AC-BA37-3112DFBB9B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LEGALIZACIÓN-REINTEGRO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 Cali</dc:creator>
  <cp:lastModifiedBy>Arq. Miguel Morantes</cp:lastModifiedBy>
  <cp:lastPrinted>2024-08-09T13:47:14Z</cp:lastPrinted>
  <dcterms:created xsi:type="dcterms:W3CDTF">2023-05-23T15:04:04Z</dcterms:created>
  <dcterms:modified xsi:type="dcterms:W3CDTF">2024-10-03T22:02:53Z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2023-05-23T15:26:30Z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766a815a-7811-40fd-b914-fecfb9bfabb1</vt:lpwstr>
  </property>
  <property fmtid="{D5CDD505-2E9C-101B-9397-08002B2CF9AE}" pid="7" name="MSIP_Label_defa4170-0d19-0005-0004-bc88714345d2_ActionId">
    <vt:lpwstr>43394c0c-c54a-4b22-817b-c21750d4046f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0x010100F2CF6BF664B0144188C8895058BA4A59</vt:lpwstr>
  </property>
</Properties>
</file>