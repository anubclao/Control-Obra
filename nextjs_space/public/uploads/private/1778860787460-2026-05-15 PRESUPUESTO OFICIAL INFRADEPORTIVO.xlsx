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0290C207-A953-4C85-92F3-723E0C32C83E}" xr6:coauthVersionLast="47" xr6:coauthVersionMax="47" xr10:uidLastSave="{00000000-0000-0000-0000-000000000000}"/>
  <bookViews>
    <workbookView xWindow="-120" yWindow="-120" windowWidth="20730" windowHeight="11040" xr2:uid="{DEE8BF2D-0136-4D12-8BB2-069EF9060737}"/>
  </bookViews>
  <sheets>
    <sheet name="MATRIZ CON" sheetId="1" r:id="rId1"/>
  </sheets>
  <definedNames>
    <definedName name="_xlnm._FilterDatabase" localSheetId="0" hidden="1">'MATRIZ CON'!$B$2:$H$588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7" i="1" l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69" i="1"/>
  <c r="H568" i="1"/>
  <c r="H567" i="1"/>
  <c r="H566" i="1"/>
  <c r="H562" i="1"/>
  <c r="H561" i="1"/>
  <c r="H559" i="1"/>
  <c r="H557" i="1"/>
  <c r="H555" i="1"/>
  <c r="H552" i="1"/>
  <c r="H551" i="1"/>
  <c r="H550" i="1"/>
  <c r="H549" i="1"/>
  <c r="H548" i="1"/>
  <c r="H547" i="1"/>
  <c r="H545" i="1"/>
  <c r="H543" i="1"/>
  <c r="H541" i="1"/>
  <c r="H540" i="1"/>
  <c r="H536" i="1"/>
  <c r="H535" i="1"/>
  <c r="H533" i="1"/>
  <c r="H528" i="1"/>
  <c r="H527" i="1"/>
  <c r="H526" i="1"/>
  <c r="H525" i="1"/>
  <c r="H520" i="1"/>
  <c r="H517" i="1"/>
  <c r="H516" i="1"/>
  <c r="H383" i="1"/>
  <c r="H379" i="1"/>
  <c r="H378" i="1"/>
  <c r="H363" i="1"/>
  <c r="H361" i="1"/>
  <c r="H360" i="1"/>
  <c r="H340" i="1"/>
  <c r="H338" i="1"/>
  <c r="H337" i="1"/>
  <c r="H333" i="1"/>
  <c r="H332" i="1"/>
  <c r="H304" i="1"/>
  <c r="H303" i="1"/>
  <c r="H17" i="1" l="1"/>
  <c r="H60" i="1"/>
  <c r="H106" i="1"/>
  <c r="H133" i="1"/>
  <c r="H179" i="1"/>
  <c r="H238" i="1"/>
  <c r="H283" i="1"/>
  <c r="H328" i="1"/>
  <c r="H370" i="1"/>
  <c r="H422" i="1"/>
  <c r="H467" i="1"/>
  <c r="H498" i="1"/>
  <c r="H10" i="1"/>
  <c r="H18" i="1"/>
  <c r="H27" i="1"/>
  <c r="H41" i="1"/>
  <c r="H51" i="1"/>
  <c r="H61" i="1"/>
  <c r="H70" i="1"/>
  <c r="H81" i="1"/>
  <c r="H90" i="1"/>
  <c r="H98" i="1"/>
  <c r="H107" i="1"/>
  <c r="H117" i="1"/>
  <c r="H125" i="1"/>
  <c r="H134" i="1"/>
  <c r="H142" i="1"/>
  <c r="H150" i="1"/>
  <c r="H162" i="1"/>
  <c r="H171" i="1"/>
  <c r="H180" i="1"/>
  <c r="H189" i="1"/>
  <c r="H198" i="1"/>
  <c r="H208" i="1"/>
  <c r="H217" i="1"/>
  <c r="H227" i="1"/>
  <c r="H239" i="1"/>
  <c r="H248" i="1"/>
  <c r="H260" i="1"/>
  <c r="H271" i="1"/>
  <c r="H286" i="1"/>
  <c r="H302" i="1"/>
  <c r="H311" i="1"/>
  <c r="H321" i="1"/>
  <c r="H331" i="1"/>
  <c r="H341" i="1"/>
  <c r="H350" i="1"/>
  <c r="H371" i="1"/>
  <c r="H393" i="1"/>
  <c r="H401" i="1"/>
  <c r="H411" i="1"/>
  <c r="H425" i="1"/>
  <c r="H439" i="1"/>
  <c r="H452" i="1"/>
  <c r="H460" i="1"/>
  <c r="H469" i="1"/>
  <c r="H480" i="1"/>
  <c r="H488" i="1"/>
  <c r="H499" i="1"/>
  <c r="H521" i="1"/>
  <c r="H26" i="1"/>
  <c r="H89" i="1"/>
  <c r="H149" i="1"/>
  <c r="H197" i="1"/>
  <c r="H247" i="1"/>
  <c r="H319" i="1"/>
  <c r="H381" i="1"/>
  <c r="H487" i="1"/>
  <c r="H511" i="1"/>
  <c r="H11" i="1"/>
  <c r="H63" i="1"/>
  <c r="H99" i="1"/>
  <c r="H118" i="1"/>
  <c r="H135" i="1"/>
  <c r="H143" i="1"/>
  <c r="H151" i="1"/>
  <c r="H163" i="1"/>
  <c r="H172" i="1"/>
  <c r="H181" i="1"/>
  <c r="H190" i="1"/>
  <c r="H199" i="1"/>
  <c r="H210" i="1"/>
  <c r="H219" i="1"/>
  <c r="H228" i="1"/>
  <c r="H240" i="1"/>
  <c r="H249" i="1"/>
  <c r="H261" i="1"/>
  <c r="H273" i="1"/>
  <c r="H287" i="1"/>
  <c r="H313" i="1"/>
  <c r="H322" i="1"/>
  <c r="H342" i="1"/>
  <c r="H351" i="1"/>
  <c r="H372" i="1"/>
  <c r="H384" i="1"/>
  <c r="H394" i="1"/>
  <c r="H402" i="1"/>
  <c r="H412" i="1"/>
  <c r="H426" i="1"/>
  <c r="H441" i="1"/>
  <c r="H453" i="1"/>
  <c r="H461" i="1"/>
  <c r="H470" i="1"/>
  <c r="H481" i="1"/>
  <c r="H489" i="1"/>
  <c r="H500" i="1"/>
  <c r="H513" i="1"/>
  <c r="H9" i="1"/>
  <c r="H50" i="1"/>
  <c r="H97" i="1"/>
  <c r="H124" i="1"/>
  <c r="H216" i="1"/>
  <c r="H259" i="1"/>
  <c r="H299" i="1"/>
  <c r="H357" i="1"/>
  <c r="H400" i="1"/>
  <c r="H450" i="1"/>
  <c r="H28" i="1"/>
  <c r="H42" i="1"/>
  <c r="H71" i="1"/>
  <c r="H91" i="1"/>
  <c r="H126" i="1"/>
  <c r="H12" i="1"/>
  <c r="H21" i="1"/>
  <c r="H31" i="1"/>
  <c r="H43" i="1"/>
  <c r="H53" i="1"/>
  <c r="H64" i="1"/>
  <c r="H72" i="1"/>
  <c r="H83" i="1"/>
  <c r="H92" i="1"/>
  <c r="H100" i="1"/>
  <c r="H109" i="1"/>
  <c r="H119" i="1"/>
  <c r="H128" i="1"/>
  <c r="H136" i="1"/>
  <c r="H144" i="1"/>
  <c r="H152" i="1"/>
  <c r="H164" i="1"/>
  <c r="H173" i="1"/>
  <c r="H182" i="1"/>
  <c r="H191" i="1"/>
  <c r="H200" i="1"/>
  <c r="H211" i="1"/>
  <c r="H220" i="1"/>
  <c r="H229" i="1"/>
  <c r="H241" i="1"/>
  <c r="H250" i="1"/>
  <c r="H262" i="1"/>
  <c r="H276" i="1"/>
  <c r="H290" i="1"/>
  <c r="H314" i="1"/>
  <c r="H323" i="1"/>
  <c r="H343" i="1"/>
  <c r="H352" i="1"/>
  <c r="H362" i="1"/>
  <c r="H375" i="1"/>
  <c r="H385" i="1"/>
  <c r="H395" i="1"/>
  <c r="H403" i="1"/>
  <c r="H413" i="1"/>
  <c r="H429" i="1"/>
  <c r="H443" i="1"/>
  <c r="H454" i="1"/>
  <c r="H462" i="1"/>
  <c r="H472" i="1"/>
  <c r="H482" i="1"/>
  <c r="H491" i="1"/>
  <c r="H501" i="1"/>
  <c r="H515" i="1"/>
  <c r="H38" i="1"/>
  <c r="H80" i="1"/>
  <c r="H116" i="1"/>
  <c r="H161" i="1"/>
  <c r="H188" i="1"/>
  <c r="H226" i="1"/>
  <c r="H269" i="1"/>
  <c r="H309" i="1"/>
  <c r="H349" i="1"/>
  <c r="H392" i="1"/>
  <c r="H459" i="1"/>
  <c r="H20" i="1"/>
  <c r="H52" i="1"/>
  <c r="H82" i="1"/>
  <c r="H108" i="1"/>
  <c r="H13" i="1"/>
  <c r="H22" i="1"/>
  <c r="H32" i="1"/>
  <c r="H44" i="1"/>
  <c r="H55" i="1"/>
  <c r="H65" i="1"/>
  <c r="H74" i="1"/>
  <c r="H84" i="1"/>
  <c r="H93" i="1"/>
  <c r="H102" i="1"/>
  <c r="H111" i="1"/>
  <c r="H120" i="1"/>
  <c r="H129" i="1"/>
  <c r="H137" i="1"/>
  <c r="H145" i="1"/>
  <c r="H153" i="1"/>
  <c r="H166" i="1"/>
  <c r="H174" i="1"/>
  <c r="H183" i="1"/>
  <c r="H192" i="1"/>
  <c r="H201" i="1"/>
  <c r="H212" i="1"/>
  <c r="H221" i="1"/>
  <c r="H231" i="1"/>
  <c r="H242" i="1"/>
  <c r="H252" i="1"/>
  <c r="H263" i="1"/>
  <c r="H277" i="1"/>
  <c r="H293" i="1"/>
  <c r="H305" i="1"/>
  <c r="H315" i="1"/>
  <c r="H324" i="1"/>
  <c r="H334" i="1"/>
  <c r="H344" i="1"/>
  <c r="H353" i="1"/>
  <c r="H377" i="1"/>
  <c r="H386" i="1"/>
  <c r="H396" i="1"/>
  <c r="H404" i="1"/>
  <c r="H416" i="1"/>
  <c r="H430" i="1"/>
  <c r="H445" i="1"/>
  <c r="H463" i="1"/>
  <c r="H473" i="1"/>
  <c r="H483" i="1"/>
  <c r="H492" i="1"/>
  <c r="H503" i="1"/>
  <c r="H14" i="1"/>
  <c r="H23" i="1"/>
  <c r="H34" i="1"/>
  <c r="H45" i="1"/>
  <c r="H56" i="1"/>
  <c r="H66" i="1"/>
  <c r="H77" i="1"/>
  <c r="H85" i="1"/>
  <c r="H94" i="1"/>
  <c r="H103" i="1"/>
  <c r="H112" i="1"/>
  <c r="H121" i="1"/>
  <c r="H130" i="1"/>
  <c r="H138" i="1"/>
  <c r="H146" i="1"/>
  <c r="H155" i="1"/>
  <c r="H175" i="1"/>
  <c r="H184" i="1"/>
  <c r="H193" i="1"/>
  <c r="H202" i="1"/>
  <c r="H213" i="1"/>
  <c r="H222" i="1"/>
  <c r="H232" i="1"/>
  <c r="H243" i="1"/>
  <c r="H253" i="1"/>
  <c r="H264" i="1"/>
  <c r="H278" i="1"/>
  <c r="H294" i="1"/>
  <c r="H306" i="1"/>
  <c r="H316" i="1"/>
  <c r="H325" i="1"/>
  <c r="H336" i="1"/>
  <c r="H345" i="1"/>
  <c r="H354" i="1"/>
  <c r="H364" i="1"/>
  <c r="H397" i="1"/>
  <c r="H405" i="1"/>
  <c r="H417" i="1"/>
  <c r="H446" i="1"/>
  <c r="H456" i="1"/>
  <c r="H464" i="1"/>
  <c r="H474" i="1"/>
  <c r="H484" i="1"/>
  <c r="H504" i="1"/>
  <c r="H6" i="1"/>
  <c r="H24" i="1"/>
  <c r="H35" i="1"/>
  <c r="H47" i="1"/>
  <c r="H58" i="1"/>
  <c r="H67" i="1"/>
  <c r="H78" i="1"/>
  <c r="H86" i="1"/>
  <c r="H95" i="1"/>
  <c r="H104" i="1"/>
  <c r="H113" i="1"/>
  <c r="H122" i="1"/>
  <c r="H131" i="1"/>
  <c r="H139" i="1"/>
  <c r="H147" i="1"/>
  <c r="H157" i="1"/>
  <c r="H168" i="1"/>
  <c r="H176" i="1"/>
  <c r="H185" i="1"/>
  <c r="H195" i="1"/>
  <c r="H205" i="1"/>
  <c r="H214" i="1"/>
  <c r="H224" i="1"/>
  <c r="H235" i="1"/>
  <c r="H245" i="1"/>
  <c r="H257" i="1"/>
  <c r="H265" i="1"/>
  <c r="H281" i="1"/>
  <c r="H295" i="1"/>
  <c r="H317" i="1"/>
  <c r="H326" i="1"/>
  <c r="H346" i="1"/>
  <c r="H355" i="1"/>
  <c r="H366" i="1"/>
  <c r="H390" i="1"/>
  <c r="H398" i="1"/>
  <c r="H406" i="1"/>
  <c r="H418" i="1"/>
  <c r="H436" i="1"/>
  <c r="H448" i="1"/>
  <c r="H465" i="1"/>
  <c r="H476" i="1"/>
  <c r="H485" i="1"/>
  <c r="H495" i="1"/>
  <c r="H506" i="1"/>
  <c r="H518" i="1"/>
  <c r="H69" i="1"/>
  <c r="H141" i="1"/>
  <c r="H207" i="1"/>
  <c r="H408" i="1"/>
  <c r="H478" i="1"/>
  <c r="H5" i="1"/>
  <c r="H15" i="1"/>
  <c r="H7" i="1"/>
  <c r="H16" i="1"/>
  <c r="H25" i="1"/>
  <c r="H36" i="1"/>
  <c r="H49" i="1"/>
  <c r="H59" i="1"/>
  <c r="H68" i="1"/>
  <c r="H79" i="1"/>
  <c r="H88" i="1"/>
  <c r="H96" i="1"/>
  <c r="H105" i="1"/>
  <c r="H114" i="1"/>
  <c r="H123" i="1"/>
  <c r="H132" i="1"/>
  <c r="H140" i="1"/>
  <c r="H148" i="1"/>
  <c r="H160" i="1"/>
  <c r="H177" i="1"/>
  <c r="H186" i="1"/>
  <c r="H196" i="1"/>
  <c r="H206" i="1"/>
  <c r="H215" i="1"/>
  <c r="H225" i="1"/>
  <c r="H237" i="1"/>
  <c r="H246" i="1"/>
  <c r="H258" i="1"/>
  <c r="H268" i="1"/>
  <c r="H282" i="1"/>
  <c r="H297" i="1"/>
  <c r="H308" i="1"/>
  <c r="H327" i="1"/>
  <c r="H348" i="1"/>
  <c r="H356" i="1"/>
  <c r="H368" i="1"/>
  <c r="H380" i="1"/>
  <c r="H391" i="1"/>
  <c r="H399" i="1"/>
  <c r="H407" i="1"/>
  <c r="H419" i="1"/>
  <c r="H437" i="1"/>
  <c r="H449" i="1"/>
  <c r="H458" i="1"/>
  <c r="H466" i="1"/>
  <c r="H477" i="1"/>
  <c r="H486" i="1"/>
  <c r="H496" i="1"/>
  <c r="H519" i="1"/>
  <c r="H307" i="1"/>
  <c r="H571" i="1"/>
  <c r="H508" i="1"/>
  <c r="H169" i="1"/>
  <c r="H318" i="1"/>
  <c r="H531" i="1"/>
  <c r="H563" i="1"/>
  <c r="H572" i="1"/>
  <c r="H170" i="1"/>
  <c r="H438" i="1"/>
  <c r="H512" i="1"/>
  <c r="H544" i="1"/>
  <c r="H553" i="1"/>
  <c r="H565" i="1"/>
  <c r="H574" i="1"/>
  <c r="H522" i="1"/>
  <c r="H534" i="1"/>
  <c r="H554" i="1"/>
  <c r="H524" i="1"/>
  <c r="H494" i="1"/>
  <c r="H538" i="1"/>
  <c r="H167" i="1"/>
  <c r="H387" i="1"/>
  <c r="H433" i="1"/>
  <c r="H457" i="1"/>
  <c r="H570" i="1"/>
  <c r="H588" i="1" a="1"/>
  <c r="H588" i="1" s="1"/>
  <c r="H591" i="1" l="1" a="1"/>
  <c r="H591" i="1" s="1"/>
</calcChain>
</file>

<file path=xl/sharedStrings.xml><?xml version="1.0" encoding="utf-8"?>
<sst xmlns="http://schemas.openxmlformats.org/spreadsheetml/2006/main" count="2000" uniqueCount="591">
  <si>
    <t>PRESUPUESTO GENERAL PARQUES DEL VALLE</t>
  </si>
  <si>
    <t>CLASIFICACIÓN</t>
  </si>
  <si>
    <t>ÍTEM DE PAGO</t>
  </si>
  <si>
    <t>DESCRIPCION</t>
  </si>
  <si>
    <t>UND.</t>
  </si>
  <si>
    <t>CANTIDAD</t>
  </si>
  <si>
    <t>VALOR UNITARIO</t>
  </si>
  <si>
    <t xml:space="preserve">VALOR TOTAL                                </t>
  </si>
  <si>
    <t>ADECUACION PATINODROMO LA UNION</t>
  </si>
  <si>
    <t>LOSA CENTRAL PATIDRONOMO</t>
  </si>
  <si>
    <t>PRELIMINARES</t>
  </si>
  <si>
    <t>1,1,1</t>
  </si>
  <si>
    <t>LOCALIZACION-REPLANTEO OBRA ARQUITECTON.</t>
  </si>
  <si>
    <t>M2</t>
  </si>
  <si>
    <t>1,1,2</t>
  </si>
  <si>
    <t>CERRAMIENTO TELA FIB.TEJIDA H=2.10M-BORD</t>
  </si>
  <si>
    <t>ML</t>
  </si>
  <si>
    <t>1,1,3</t>
  </si>
  <si>
    <t>CAMPAMENTO TABLA 18 M2</t>
  </si>
  <si>
    <t>UND</t>
  </si>
  <si>
    <t>MOVIMIENTOS DE TIERRA</t>
  </si>
  <si>
    <t>1,2,1</t>
  </si>
  <si>
    <t>EXCAVACION TIERRA A MANO</t>
  </si>
  <si>
    <t>M3</t>
  </si>
  <si>
    <t>1,2,2</t>
  </si>
  <si>
    <t>SUB-BASE COMP.MAT.SELECC. TIPO INV SIN T</t>
  </si>
  <si>
    <t>1,2,3</t>
  </si>
  <si>
    <t>RELLENO COMP.MAT.SELECC.SIN TRANSP (ROCA MUERTA)</t>
  </si>
  <si>
    <t>1,2,4</t>
  </si>
  <si>
    <t>GEOMALLA FIBRA DE VIDRIO</t>
  </si>
  <si>
    <t>1,2,5</t>
  </si>
  <si>
    <t>GEOTEXTIL TEJIDO 2100</t>
  </si>
  <si>
    <t>1,2,6</t>
  </si>
  <si>
    <t>CONFORM.COMPACT.SUBRASANTE CBR=95 URBANA</t>
  </si>
  <si>
    <t>1,2,7</t>
  </si>
  <si>
    <t>CONFIGURACION-NIVELACION TERRENO</t>
  </si>
  <si>
    <t>1,2,8</t>
  </si>
  <si>
    <t>ACARREO MATERIAL PETREO Y/O SOBRANTES DE OBRA, VOLUMEN COMPACTADO</t>
  </si>
  <si>
    <t>M3K</t>
  </si>
  <si>
    <t>1,2,9</t>
  </si>
  <si>
    <t>TRASIEGO MANUAL</t>
  </si>
  <si>
    <t>1,2,10</t>
  </si>
  <si>
    <t>CARGUE MATERIAL MANUAL</t>
  </si>
  <si>
    <t>PISOS</t>
  </si>
  <si>
    <t>1,3,1</t>
  </si>
  <si>
    <t>LOSA MACIZA CONCRETO SOBRE PISO 4000PSI</t>
  </si>
  <si>
    <t>1,3,2</t>
  </si>
  <si>
    <t>MALLA ELECTROSOLDADA</t>
  </si>
  <si>
    <t>KLS</t>
  </si>
  <si>
    <t>1,3,3</t>
  </si>
  <si>
    <t>ACERO PASADORES</t>
  </si>
  <si>
    <t>1,3,4</t>
  </si>
  <si>
    <t>CORTADORA DE PAVIMENTO DE 4 A 7 CM</t>
  </si>
  <si>
    <t>1,3,5</t>
  </si>
  <si>
    <t>SUMINISTRO E INSTALACION DE YUMBOLON JUNTAS 1/2"</t>
  </si>
  <si>
    <t>1,3,6</t>
  </si>
  <si>
    <t>SELLANTE ELASTOMERICO-POLIURETANO</t>
  </si>
  <si>
    <t>1,3,7</t>
  </si>
  <si>
    <t>ALLANADO MECANICO ESMALTADO GRIS-NEGRO</t>
  </si>
  <si>
    <t>1,3,8</t>
  </si>
  <si>
    <t>LINEA DE DEMARCACION ACRILICA A=12CM</t>
  </si>
  <si>
    <t>1,3,9</t>
  </si>
  <si>
    <t>REVESTIMIENTO SINTÉTICO EN PINTURA SISTEMA DE CUATRO (4) CAPAS, INICIANDO CON UNA BASE PRIMER Y TRES (3) DE PINTURA. PINTURA BASE  ACRÍLICA Y CUARZO DE ALTA CALIDAD, RESINA FLEXIBLE DE POLIURETANO CON PROPIEDADES DE SOLIDOS TOTALES (48%-50%), FORMACION DE PELICULA (4.0H-6.0H), VISCOSIDAD (20CP-80CP) DE LA MEJOR CALIDAD.</t>
  </si>
  <si>
    <t>OBRAS HIDRAULICAS</t>
  </si>
  <si>
    <t>CANAL CONCRETO</t>
  </si>
  <si>
    <t>2,1,1</t>
  </si>
  <si>
    <t>CANAL CONCRETO PISO 3000 PSI</t>
  </si>
  <si>
    <t>2,1,2</t>
  </si>
  <si>
    <t>TAPA CANAL CONCRETO PERFORADA PREF. ESP:8CM (0.6 X 0.34)</t>
  </si>
  <si>
    <t>RECAMARAS Y SUMIDEROS</t>
  </si>
  <si>
    <t>2,2,1</t>
  </si>
  <si>
    <t>SUMIDERO DOBLE TIPO B</t>
  </si>
  <si>
    <t>2,2,2</t>
  </si>
  <si>
    <t>CAMARA INSPECCION TIPO B H=0.00-1.50 MTS</t>
  </si>
  <si>
    <t>2,2,3</t>
  </si>
  <si>
    <t>TUBERIA PVC NOVAFORT 10"</t>
  </si>
  <si>
    <t>LIMPIEZA GENERAL</t>
  </si>
  <si>
    <t>LIMPIEZA DESMONTE ASEO</t>
  </si>
  <si>
    <t>INSTALACIONES ELECTRICAS</t>
  </si>
  <si>
    <t>ALIMENTADOR ELECTRICO</t>
  </si>
  <si>
    <t>4,1,1</t>
  </si>
  <si>
    <t>CONECTOR SUMERGIBLE</t>
  </si>
  <si>
    <t>4,1,2</t>
  </si>
  <si>
    <t>CABLE COBRE HF-ZH# 6</t>
  </si>
  <si>
    <t>4,1,3</t>
  </si>
  <si>
    <t>CABLE COBRE HF-ZH# 4</t>
  </si>
  <si>
    <t>4,1,4</t>
  </si>
  <si>
    <t>CURVA PVC 1-1/2V</t>
  </si>
  <si>
    <t>4,1,5</t>
  </si>
  <si>
    <t>TUBO PVC 1-1/2"</t>
  </si>
  <si>
    <t>TABLEROS DE CONTROL</t>
  </si>
  <si>
    <t>4,2,1</t>
  </si>
  <si>
    <t>TABLERO DE CONTROL GENERAL Y PROTECCIONES</t>
  </si>
  <si>
    <t>SALIDAS ELECTRICAS</t>
  </si>
  <si>
    <t>4,3,1</t>
  </si>
  <si>
    <t>SAL LAMP EMT # 10</t>
  </si>
  <si>
    <t>4,3,2</t>
  </si>
  <si>
    <t>SUMINISTRO E INSTALACION DE TUBO EMT DE 3/4 A ALTURA DE 6M</t>
  </si>
  <si>
    <t>4,3,3</t>
  </si>
  <si>
    <t>CABLE COBRE HF-ZH# 10</t>
  </si>
  <si>
    <t>4,3,4</t>
  </si>
  <si>
    <t>CAJA DE PASO 2X4 EMT</t>
  </si>
  <si>
    <t>4,3,5</t>
  </si>
  <si>
    <t>CABLE COBRE HF-ZH# 12</t>
  </si>
  <si>
    <t>ILUMINACION</t>
  </si>
  <si>
    <t>4,4,1</t>
  </si>
  <si>
    <t>LED HIGH BAY 150W O SIMILAR</t>
  </si>
  <si>
    <t>4,4,2</t>
  </si>
  <si>
    <t>BATERIAS DE RESPALDO DE LUMIANRIAS LED HIGH BAY 150</t>
  </si>
  <si>
    <t>OBRA CIVIL</t>
  </si>
  <si>
    <t>4,5,1</t>
  </si>
  <si>
    <t>4,5,2</t>
  </si>
  <si>
    <t>MURETE PARA CONTADOR Y CAJA CON REJA</t>
  </si>
  <si>
    <t>4,5,3</t>
  </si>
  <si>
    <t>CAJA ELECTRICA 0,8 X 0,8 X 1 MT</t>
  </si>
  <si>
    <t>4,5,4</t>
  </si>
  <si>
    <t>TAPA CAJA MARCO ANGULO 71X71 - 80X80</t>
  </si>
  <si>
    <t>APANTALLAMIENTO Y SISTEMA DE PUESTA A TIERRA</t>
  </si>
  <si>
    <t>4,6,1</t>
  </si>
  <si>
    <t>CABLE COBRE DESNUDO #2/0</t>
  </si>
  <si>
    <t>4,6,2</t>
  </si>
  <si>
    <t>VARILLA CU-CU 9/16X 2.40 M.</t>
  </si>
  <si>
    <t>4,6,3</t>
  </si>
  <si>
    <t>SOLDADURA TERMOWELD X115 GRM</t>
  </si>
  <si>
    <t>4,6,4</t>
  </si>
  <si>
    <t>ALAMBRON PARA APANTALLAMIENTO</t>
  </si>
  <si>
    <t>4,6,5</t>
  </si>
  <si>
    <t>SOPORTE PARA ALAMBRON</t>
  </si>
  <si>
    <t>4,6,6</t>
  </si>
  <si>
    <t>CABLE COBRE HF-ZH# 2</t>
  </si>
  <si>
    <t>4,6,7</t>
  </si>
  <si>
    <t>TAPA METALICA DE REGISTRO 20X20CM.</t>
  </si>
  <si>
    <t>4,6,8</t>
  </si>
  <si>
    <t>PARARRAYO 1m O SIMILAR</t>
  </si>
  <si>
    <t>4,6,9</t>
  </si>
  <si>
    <t>MOLDE SOLDADURA CABLE-CABLE (1/0 A 4/0)</t>
  </si>
  <si>
    <t>4,6,10</t>
  </si>
  <si>
    <t>MOLDE SOLDADURA VARILLA-CABLE</t>
  </si>
  <si>
    <t>INCREMENTO POR DISTANCIA</t>
  </si>
  <si>
    <t>%</t>
  </si>
  <si>
    <t>CANCHA SINTETICA PARQUE LOS LANZEROS LA VICTORIA</t>
  </si>
  <si>
    <t xml:space="preserve">CANCHA SINTETICA  </t>
  </si>
  <si>
    <t>1,1,4</t>
  </si>
  <si>
    <t>DESINSTALACION DE MALLA NYLON (INCLUYE ANDAMIOS)</t>
  </si>
  <si>
    <t>1,1,5</t>
  </si>
  <si>
    <t>DESINSTALACION  DE GRAMA Y TAPETE DE CANCHA SINTETICA DE FUTBOL EXISTENTE</t>
  </si>
  <si>
    <t>1,1,6</t>
  </si>
  <si>
    <t xml:space="preserve">	DESMONTE POSTE METALICO</t>
  </si>
  <si>
    <t>1,1,7</t>
  </si>
  <si>
    <t>DESMONTE PORTERIA DE FUTBOL</t>
  </si>
  <si>
    <t>1,1,8</t>
  </si>
  <si>
    <t xml:space="preserve">DEMOLICION CANAL PISO </t>
  </si>
  <si>
    <t>1,1,9</t>
  </si>
  <si>
    <t>CARGUE MATERIAL A MAQUINA</t>
  </si>
  <si>
    <t>1,1,10</t>
  </si>
  <si>
    <t>RELLENO GRAVA TRITURA-POLVILLO [S.COM]</t>
  </si>
  <si>
    <t>GEOCELDA 356 X 120 MM</t>
  </si>
  <si>
    <t>GEOTEXTIL NO TEJIDO 2000</t>
  </si>
  <si>
    <t xml:space="preserve">	CONFORM.COMPACT.SUBRASANTE CBR=95 URBANA</t>
  </si>
  <si>
    <t>ACARREO MATERIALES DESDE O HACIA LA OBRA &lt;= 10 KM.</t>
  </si>
  <si>
    <t>1,2,11</t>
  </si>
  <si>
    <t>CARGUE DE SALDO EN SITIO( MANUAL)</t>
  </si>
  <si>
    <t>1,2,12</t>
  </si>
  <si>
    <t>1,2,13</t>
  </si>
  <si>
    <t>CANCHA</t>
  </si>
  <si>
    <t xml:space="preserve">SUMINSTRO E INSTALACION DE GRAMA SINTETICA XP11.000 HIBRIDA, FIBRILADO TENCATE THIOLON, 100% ESTABILIZADO CON PROTECCIÓN UV CONTRA RAYOS ULTRAVIOLETA - VERDE </t>
  </si>
  <si>
    <t>IMPRIMACION</t>
  </si>
  <si>
    <t>PORTERIA FUTBOL TIPO 5</t>
  </si>
  <si>
    <t>JGO</t>
  </si>
  <si>
    <t>CERRAMIENTO PERIMETRAL  Y CUBIERTA (TECHO) EN MALLA DE NYLON TRATADA # 90, OJO 10X10, COLOR NEGRO TEXTURIZADO, ALTURA 7,0 M. INCLUYE: GUAYA ENCAUCHETADA INFERIOR, GUAYA ENCAUCHETADA CENTRAL Y GUAYA ENCAUCHETADA SUPERIRO, GRILLETES, TENSORES, RETENIDAS Y  VIENTOS.</t>
  </si>
  <si>
    <t>ACERO ESTRUCTURAL (POSTES METÁLICOS)</t>
  </si>
  <si>
    <t>NAVE PUERTA TUBO C.13 MALLA(2x1.01-1.5)</t>
  </si>
  <si>
    <t>CERRAMIENTOS PERIMETRALES</t>
  </si>
  <si>
    <t>DESMONTE MALLA ESLABONADA H=2.0 MT</t>
  </si>
  <si>
    <t>POSTE TUBO GALV. 2" X3.0MM C.11</t>
  </si>
  <si>
    <t>MALLA ESLABONADA GALV # 10 ROMBO 1,1/2"</t>
  </si>
  <si>
    <t>CONCERTINA DOBLE 60CM A.INOX-ACCESORIOS</t>
  </si>
  <si>
    <t>ANDENES E INGRESO A CANCHA SINTETICA</t>
  </si>
  <si>
    <t>DEMOLICION SARDINEL TRAPEZOIDAL CONCRETO</t>
  </si>
  <si>
    <t xml:space="preserve">DEMOLICION ANDEN E=0.10	</t>
  </si>
  <si>
    <t xml:space="preserve">	DESMONTE RETIRO ADOQUIN PREFABRICADO</t>
  </si>
  <si>
    <t xml:space="preserve">	CORDON CONCRETO 3100 PSI (10X20-25CM)</t>
  </si>
  <si>
    <t>ADOQUIN CONCRETO PEATONAL CRUZ</t>
  </si>
  <si>
    <t xml:space="preserve">	ANDEN CONCRETO 10CM 3000 PSI</t>
  </si>
  <si>
    <t>PLANTA ORNAMELTAL PEQUENA H= 20- 40CM</t>
  </si>
  <si>
    <t>PRADO TRENZA</t>
  </si>
  <si>
    <t>ELECTRICO</t>
  </si>
  <si>
    <t>ACOMETIDA ELECTRICA 2F(2# 8+1#10) 1"</t>
  </si>
  <si>
    <t>ACOMETIDA ELECTRICA 2F(2# 8+1#10) 1" EMT</t>
  </si>
  <si>
    <t>CAPACETE GALV 1"</t>
  </si>
  <si>
    <t>HEBILLA PARA CINTA BANDIT DE 1/2</t>
  </si>
  <si>
    <t>CINTA BANDIT DE 1/2"</t>
  </si>
  <si>
    <t>CAJA CONTADOR 3F POLICARB C/PORTABREAKER</t>
  </si>
  <si>
    <t>CABLE COBRE HF-ZH# 8</t>
  </si>
  <si>
    <t>TABLERO DE CONTROL Y PROTECCION</t>
  </si>
  <si>
    <t>TUBO PVC 1"</t>
  </si>
  <si>
    <t>CURVA PVC 1"</t>
  </si>
  <si>
    <t>TUBO PVC 1-1/4"</t>
  </si>
  <si>
    <t>PROYECTOR LED 200-240w SEGUN DISEÑO O SIMILAR</t>
  </si>
  <si>
    <t>4,20</t>
  </si>
  <si>
    <t>PARARRAYOS FRANKLIN BLUNT 5 PUNTAS</t>
  </si>
  <si>
    <t>RELLENO MATERIAL SITIO MANUAL</t>
  </si>
  <si>
    <t>LIMPIEZA</t>
  </si>
  <si>
    <t>CANCHA SINTETICA GINEBRA</t>
  </si>
  <si>
    <t>CANCHA SINTETICA</t>
  </si>
  <si>
    <t>LOCALIZACION-REPLANTEO C.MULTIPLE-PISTAS</t>
  </si>
  <si>
    <t>CERRAMIENTO TELA FIB.TEJIDA H=2.10M-SINB</t>
  </si>
  <si>
    <t>DEMOL.PAVIMENTO CONCRETO E=20CM</t>
  </si>
  <si>
    <t>EXCAVACIONES Y RELLENOS</t>
  </si>
  <si>
    <t xml:space="preserve">DESCAPOTE MAQUINA </t>
  </si>
  <si>
    <t>EXCAVACION A MAQUINA(CAJEO) [SR]</t>
  </si>
  <si>
    <t>ACARREO MATERIAL PETREO.VOL.COMPACT</t>
  </si>
  <si>
    <t>CARPETA ASFALTICA [ST]</t>
  </si>
  <si>
    <t>CORDÓN EN CONCRETO 3100 PSI</t>
  </si>
  <si>
    <t>ACERO REFUERZO FLEJADO 60000 PSI 420Mpa</t>
  </si>
  <si>
    <t>ACARREO ASFALTO VOLUMEN COMPCTADO</t>
  </si>
  <si>
    <t>TRANSPORTE DE EQUIPO &gt; 50 KM</t>
  </si>
  <si>
    <t>T/K</t>
  </si>
  <si>
    <t>DOTACION</t>
  </si>
  <si>
    <t>1,4,1</t>
  </si>
  <si>
    <t>PORTERIA MICROFUTBOL TIPO 2 FIJA</t>
  </si>
  <si>
    <t>1,4,2</t>
  </si>
  <si>
    <t>1,4,3</t>
  </si>
  <si>
    <t>1,4,4</t>
  </si>
  <si>
    <t>1,4,5</t>
  </si>
  <si>
    <t>DADO CONCRETO 3000 PSI INC. FORMALETA</t>
  </si>
  <si>
    <t>1,4,6</t>
  </si>
  <si>
    <t xml:space="preserve">CERRAMIENTO  </t>
  </si>
  <si>
    <t>1,5,1</t>
  </si>
  <si>
    <t>EXCAVACION A MAQUINA(CAJEO)</t>
  </si>
  <si>
    <t>1,5,2</t>
  </si>
  <si>
    <t>RETIRO DE SALDOS EN SITIO</t>
  </si>
  <si>
    <t>1,5,3</t>
  </si>
  <si>
    <t>1,5,4</t>
  </si>
  <si>
    <t>1,5,5</t>
  </si>
  <si>
    <t>1,5,6</t>
  </si>
  <si>
    <t>1,5,7</t>
  </si>
  <si>
    <t>1,5,8</t>
  </si>
  <si>
    <t>NAVE PUERTA TUBO ACUE MALLA(2x0.60-1.0)</t>
  </si>
  <si>
    <t>ANDENES Y URBANISMO</t>
  </si>
  <si>
    <t>LOCALIZACION-REPLANTEO VIAS NO URBANAS</t>
  </si>
  <si>
    <t>DEMOLICION ANDEN E=0,10</t>
  </si>
  <si>
    <t>2,1,3</t>
  </si>
  <si>
    <t>2,1,4</t>
  </si>
  <si>
    <t>DESCAPOTE MAQUINA</t>
  </si>
  <si>
    <t>2,2,4</t>
  </si>
  <si>
    <t>2,2,5</t>
  </si>
  <si>
    <t>2,2,6</t>
  </si>
  <si>
    <t>RELLENO COMP.MAT.SELECC. (ROCAMUERTA) 30CM</t>
  </si>
  <si>
    <t>2,2,7</t>
  </si>
  <si>
    <t>GEOTEXTIL TEJIDO TR 3000</t>
  </si>
  <si>
    <t>2,2,8</t>
  </si>
  <si>
    <t>ANDENES</t>
  </si>
  <si>
    <t>2,3,1</t>
  </si>
  <si>
    <t>ANDEN CONCRETO 10CM 3000 PSI ACABADO RAYADO</t>
  </si>
  <si>
    <t>2,3,2</t>
  </si>
  <si>
    <t>2,3,3</t>
  </si>
  <si>
    <t>2,3,4</t>
  </si>
  <si>
    <t>MOBILIARIO URBANO</t>
  </si>
  <si>
    <t>2,4,1</t>
  </si>
  <si>
    <t>2,4,2</t>
  </si>
  <si>
    <t>2,4,3</t>
  </si>
  <si>
    <t>2,4,4</t>
  </si>
  <si>
    <t>PEDESTAL CONCRETO 3100 PSI 21.0 MPA</t>
  </si>
  <si>
    <t>2,4,5</t>
  </si>
  <si>
    <t>2,4,6</t>
  </si>
  <si>
    <t>CANECA EN ACERO INOX. EMPOTRAR 75LTS PARA PARQUES</t>
  </si>
  <si>
    <t>ZONAS VERDES</t>
  </si>
  <si>
    <t>2,5,1</t>
  </si>
  <si>
    <t>SUMINISTRO E INSTALACION TIERRA AGRICOLA</t>
  </si>
  <si>
    <t>2,5,2</t>
  </si>
  <si>
    <t>RED PLUVIAL</t>
  </si>
  <si>
    <t>3,1,1</t>
  </si>
  <si>
    <t>LOCALIZACION-REPLANTEO ACUEDUCTO-ALCANTA</t>
  </si>
  <si>
    <t>3,2,1</t>
  </si>
  <si>
    <t>3,2,2</t>
  </si>
  <si>
    <t>3,2,3</t>
  </si>
  <si>
    <t>3,2,4</t>
  </si>
  <si>
    <t>3,2,5</t>
  </si>
  <si>
    <t>3,2,6</t>
  </si>
  <si>
    <t>3,2,7</t>
  </si>
  <si>
    <t>TUBERIAS Y ACCESORIOS</t>
  </si>
  <si>
    <t>3,3,1</t>
  </si>
  <si>
    <t>CAJA INSPECCION 50x 50 CM [CONCRETO]</t>
  </si>
  <si>
    <t>3,3,2</t>
  </si>
  <si>
    <t>CAJA INSPECCION 40x 40 CM [CONCRETO]</t>
  </si>
  <si>
    <t>3,3,3</t>
  </si>
  <si>
    <t>TUB PVC NOVAFORT 8"</t>
  </si>
  <si>
    <t>3,3,4</t>
  </si>
  <si>
    <t>EMPALME TUBO PVC 8" - 12" A CÁMARA DE CONCRETO</t>
  </si>
  <si>
    <t>3,3,5</t>
  </si>
  <si>
    <t>TUB.PVC 8 DREN.SF NOVAF</t>
  </si>
  <si>
    <t>3,3,6</t>
  </si>
  <si>
    <t xml:space="preserve">CANAL </t>
  </si>
  <si>
    <t>3,4,1</t>
  </si>
  <si>
    <t>3,4,2</t>
  </si>
  <si>
    <t>INSTALACIONES ELÉCTRICAS</t>
  </si>
  <si>
    <t>INSTALACIONES MEDIA TENSION</t>
  </si>
  <si>
    <t>ELEMENTOS ELECTRICOS</t>
  </si>
  <si>
    <t>4,1,1,1</t>
  </si>
  <si>
    <t>APERTURA HUECOS POSTES ANCLAS PRIMARIAS</t>
  </si>
  <si>
    <t>4,1,1,2</t>
  </si>
  <si>
    <t>POSTE CONCRETO 11 X 510 KG</t>
  </si>
  <si>
    <t>4,1,1,3</t>
  </si>
  <si>
    <t>CONCRETADA DE POSTES PRIMARIOS</t>
  </si>
  <si>
    <t>4,1,1,4</t>
  </si>
  <si>
    <t>ATERRIZAJE CAJA METALICA TABLERO, CONTADOR</t>
  </si>
  <si>
    <t>4,1,1,5</t>
  </si>
  <si>
    <t>BAJANTE TUBO IMC 4 PULG Y ACCESORIOS</t>
  </si>
  <si>
    <t>4,1,1,6</t>
  </si>
  <si>
    <t>CAJA ELECTRICA NORMA EPSA 0.9X0.9X1.1 MT</t>
  </si>
  <si>
    <t>4,1,1,7</t>
  </si>
  <si>
    <t>HERRAJE CAMARA NORMA CELSIA SB858 GALVANIZADA EN CALIENTE Y FUNDIDA CON LOGOS</t>
  </si>
  <si>
    <t>4,1,1,8</t>
  </si>
  <si>
    <t>TRANSPORTE  POSTES EN CONCRETO</t>
  </si>
  <si>
    <t>4,1,1,9</t>
  </si>
  <si>
    <t>EXCAVACION MANUAL.TIERRA  SECA H=1.8M(SR)</t>
  </si>
  <si>
    <t>INSTALACIONES EN BAJA TENSION</t>
  </si>
  <si>
    <t>ILUMINACION CANCHA SINTETICA</t>
  </si>
  <si>
    <t>4,2,1,1</t>
  </si>
  <si>
    <t>POSTE LAMINA 1/ 8" X 11 MTS NORMA EPSA"</t>
  </si>
  <si>
    <t>4,2,1,2</t>
  </si>
  <si>
    <t>SOPORTE PARA DOS REFLECTORES</t>
  </si>
  <si>
    <t>4,2,2</t>
  </si>
  <si>
    <t>CONTROL DE ENCENDIDO PARA LA ILUMINACION DE LA CANCHA</t>
  </si>
  <si>
    <t>4,2,2,1</t>
  </si>
  <si>
    <t>TABLERO DE BAJA TENSION 15 A, 220 V PARA CONTROL DE ILUMINACIÓN MEDIANTE TEMPORIZADOR</t>
  </si>
  <si>
    <t>4,2,3</t>
  </si>
  <si>
    <t>LUMINARIAS</t>
  </si>
  <si>
    <t>4,2,3,1</t>
  </si>
  <si>
    <t>LUMINARIA AREA LED I 151W fLUJO LUMINICO 22261 lm, 100.000 Horas, Temperatura de Color 4000K, Optica PO2/PO6.  IK 09, IP66, 120-277 Voltios SPD 10 kV, 10 kA.                                  Cuerpo de la luminaria con fabricación en inyección de aluminio de alta precisión para montaje a interperrie y resistente al impacto. Deberá contar con certificación RETILAP Vigente asi como certificacion UL1598 y bajo la IEC 60598-2-3.  IGUAL O SUPERIOR.</t>
  </si>
  <si>
    <t>INSTALACIONES ELECTRICAS DE BAJA TENSION</t>
  </si>
  <si>
    <t>ACOMETIDA ILUMINACION</t>
  </si>
  <si>
    <t>4,3,1,1</t>
  </si>
  <si>
    <t>ACOM.E. DESDE PUNTO DE CONEXIÓN EN BT A TABLERO GENERAL: 2 No. 8 Cu THWN + 1 No. 8 Cu THWN + 1 No. 8 THWN Cu-D∅ 2 PVC</t>
  </si>
  <si>
    <t>4,3,1,2</t>
  </si>
  <si>
    <t>ACOM.E. DESDE PUNTO DE TABLERO GENERAL A TABLEROS DE ILUMINACIÓN: 2 No. 8 Cu THWN + 1 No. 8 Cu THWN + 1 No. 8 THWN Cu-D∅ 1 PVC</t>
  </si>
  <si>
    <t>4,3,1,3</t>
  </si>
  <si>
    <t>Empalme de derivacion en Gel GHFC-1 Rango de aplicacion: Principal de cable 6 a 2 y derivacion de 14 a 8 - GHFC 1 CONECT AP-1</t>
  </si>
  <si>
    <t>TABLEROS ELECTRICOS</t>
  </si>
  <si>
    <t>4,4,1,1</t>
  </si>
  <si>
    <t xml:space="preserve">TABLERO GENERAL ELÉCTRICO </t>
  </si>
  <si>
    <t>4,4,1,2</t>
  </si>
  <si>
    <t xml:space="preserve">GABINETE INTERPERIE IP 66 PARA CONTROL ELECTRÓNICO DE ILUMINACIÓN con bandeja doble fondo 40 x 30 x 20cm </t>
  </si>
  <si>
    <t>4,4,1,3</t>
  </si>
  <si>
    <t>CABLE COBRE  LSHF # 8 PARA EQUIPOTENCIALIZACIÓN DE TIERRAS TABLEROS</t>
  </si>
  <si>
    <t>MALLA DE TIERRA</t>
  </si>
  <si>
    <t>CABLE DE MALLA DE TIERRA</t>
  </si>
  <si>
    <t>4,5,1,1</t>
  </si>
  <si>
    <t>MALLA A TIERRA CON MSVC CON CABLE #2/0 AWG</t>
  </si>
  <si>
    <t>4,5,1,2</t>
  </si>
  <si>
    <t>MEDIDA DE RESISTENCIA A TIERRA CON TELUROMETRO CERTIFICADO</t>
  </si>
  <si>
    <t>SISTEMA DE PUESTA A TIERRA</t>
  </si>
  <si>
    <t>ANILLO PERIMETRAL</t>
  </si>
  <si>
    <t>4,6,1,1</t>
  </si>
  <si>
    <t>SISTEMA DE APANTALLAMIENTO</t>
  </si>
  <si>
    <t>4,7,1</t>
  </si>
  <si>
    <t>DESCARGA PARARRAYOS</t>
  </si>
  <si>
    <t>4,7,1,1</t>
  </si>
  <si>
    <t>4,7,1,2</t>
  </si>
  <si>
    <t>MARQUILLA ACRÍLICA DE PREVENCIÓN</t>
  </si>
  <si>
    <t>4,7,1,3</t>
  </si>
  <si>
    <t>ALAMBRON EN ALUMINIO DE 8 mm PARA APANTALLAMIENTO</t>
  </si>
  <si>
    <t>ADECUACION CANCHA SINTETICA FUTBOL 8, MUNICIPIO DE ANSERMANUEVO, VALLE DEL CAUCA</t>
  </si>
  <si>
    <t>DESMONTE DE MALLA DE NYLON</t>
  </si>
  <si>
    <t>DESMONTE  DE GRAMA SINTETICA</t>
  </si>
  <si>
    <t>RETIRO PRADO - MALEZA</t>
  </si>
  <si>
    <t>PODA DE RAICES ARBOLES ALTURA MAYOR 15,1 M</t>
  </si>
  <si>
    <t>GLB</t>
  </si>
  <si>
    <t>SUMINSTRO E INSTALACION DE GRAMA SINTETICA XP11.000 HIBRIDA, FIBRILADO TENCATE THIOLON, 100% ESTABILIZADO CON PROTECCIÓN UV CONTRA RAYOS ULTRAVIOLETA</t>
  </si>
  <si>
    <t>PORTERIA FUTBOL TIPO 2</t>
  </si>
  <si>
    <t>CERRAMIENTO</t>
  </si>
  <si>
    <t>1,4,7</t>
  </si>
  <si>
    <t>CERRAMIENTO PERIMETRAL  EN MALLA DE NYLON TRATADA # 90, OJO 10X10, COLOR NEGRO TEXTURIZADO, ALTURA 7,0 M. INCLUYE: GUAYA ENCAUCHETADA INFERIOR, GUAYA ENCAUCHETADA CENTRAL Y GUAYA ENCAUCHETADA SUPERIRO, GRILLETES, TENSORES, RETENIDAS Y  VIENTOS.</t>
  </si>
  <si>
    <t>1,4,8</t>
  </si>
  <si>
    <t>MURO DE CONTENCION</t>
  </si>
  <si>
    <t>LOCALIZACION-REPLANTEO CERRAMIENTO-VARIO</t>
  </si>
  <si>
    <t>DEMOL.ANDEN/CONTRAPISO CONC.E 7.6 A 12CM</t>
  </si>
  <si>
    <t>CIMENTACION Y ESTRUCTURA</t>
  </si>
  <si>
    <t>CONCRETO DE 3000 PSI PARA CAISSON. INCLUYE EXCAVACION CONFINADA DIAMETRO 0,9 M</t>
  </si>
  <si>
    <t xml:space="preserve">ACERO REFUERZO FLEJADO 60000 PSI 420MPA </t>
  </si>
  <si>
    <t>VIGA CIMIENTO ENLACE H=51-60 CM 3100 PSI</t>
  </si>
  <si>
    <t>2,3,5</t>
  </si>
  <si>
    <t>MURO CONCRETO CONTENCION 0&lt;H&lt;=2.00MTS</t>
  </si>
  <si>
    <t>2,3,6</t>
  </si>
  <si>
    <t>2,3,7</t>
  </si>
  <si>
    <t>ANDEN</t>
  </si>
  <si>
    <t>CONFORM.COMPACT.SUBRASANTE CBR=95</t>
  </si>
  <si>
    <t>ACARREO MATERIAL PETREO</t>
  </si>
  <si>
    <t>CONTRAPISO REFORZADO E=15CM 3.000Psi</t>
  </si>
  <si>
    <t>3,10</t>
  </si>
  <si>
    <t>CORDON CONCRETO 3100 PSI (10X20-25CM)</t>
  </si>
  <si>
    <t>ADECUACION JUEGOS INFANTILES</t>
  </si>
  <si>
    <t>LOCALIZACION-REPLANTEO PARQUES-Z.VERDES</t>
  </si>
  <si>
    <t>DESMONTE JUEGO</t>
  </si>
  <si>
    <t>DESMONTE DIVISION - PISO MADERA</t>
  </si>
  <si>
    <t>ANCLAJE JUEGOS Y CERRAMIENTO</t>
  </si>
  <si>
    <t>ANCLAJE BASTON VARILLA DE 1/2"X550MM</t>
  </si>
  <si>
    <t>PTO</t>
  </si>
  <si>
    <t>SUMINISTRO E INSTALACIÓN DE GRAMA SEGURA CON 30MM BASE - PISO EN POLIMERO DE CAUCHO SBR CON RESINA DE ALTA RESISTENCIA + 20MM DE GRAMA</t>
  </si>
  <si>
    <t>JUEGOS INFANTILES Y DOTACION</t>
  </si>
  <si>
    <t xml:space="preserve">SUMINISTRO E INSTALACIÓN DE JUEGO MÚLTIPLE SERIE ESPACIO PI-EVEK02 </t>
  </si>
  <si>
    <t>SUMINISTRO E INSTALACIÓN DE JUEGO MULTIPLE SERIE FITNESS PI-PDC0169B</t>
  </si>
  <si>
    <t>4,4,3</t>
  </si>
  <si>
    <t>SEÑALETICA</t>
  </si>
  <si>
    <t>PLUVIAL</t>
  </si>
  <si>
    <t>5,1,1</t>
  </si>
  <si>
    <t>5,2,1</t>
  </si>
  <si>
    <t>5,2,2</t>
  </si>
  <si>
    <t>5,2,3</t>
  </si>
  <si>
    <t>5,2,4</t>
  </si>
  <si>
    <t>5,2,5</t>
  </si>
  <si>
    <t>5,3,1</t>
  </si>
  <si>
    <t>5,3,2</t>
  </si>
  <si>
    <t>CAJA INSPECCION 120x120 CM [CONCRETO]</t>
  </si>
  <si>
    <t>5,3,3</t>
  </si>
  <si>
    <t>TAPA CAJA MARCO ÁNGULO 111X111 – 120X120 EXTERIOR</t>
  </si>
  <si>
    <t>5,3,4</t>
  </si>
  <si>
    <t>REJILLA PISO A=1/8X1.1/2 P=1/8X1.1/2 50C</t>
  </si>
  <si>
    <t>5,3,5</t>
  </si>
  <si>
    <t>PUNTO DE CONEXIÓN</t>
  </si>
  <si>
    <t>6,1,1</t>
  </si>
  <si>
    <t>6,1,2</t>
  </si>
  <si>
    <t>POSTE EN CONCRETO 18 m x 1050 Kg PARA ALUMBRADO.</t>
  </si>
  <si>
    <t>6,1,3</t>
  </si>
  <si>
    <t>6,1,4</t>
  </si>
  <si>
    <t>B67A CORRIDO BANDERA TRIFASICO ANG 3-60</t>
  </si>
  <si>
    <t>6,1,5</t>
  </si>
  <si>
    <t>TRANSFORMADOR MONOFASICO 15 KVA 13200 V - 240 V / 120 V en Aceite.</t>
  </si>
  <si>
    <t>6,1,6</t>
  </si>
  <si>
    <t>MURETE PARA CONTADOR  Y CAJA CON REJA</t>
  </si>
  <si>
    <t>6,1,7</t>
  </si>
  <si>
    <t>CONTADOR 2F-TRIFILAR 120/240V M.DIRECTA</t>
  </si>
  <si>
    <t>6,1,8</t>
  </si>
  <si>
    <t>6,1,9</t>
  </si>
  <si>
    <t>CAJA DE INSPECCION PUESTA A TIERRA 40 X 40 CON TAPA</t>
  </si>
  <si>
    <t>6,1,10</t>
  </si>
  <si>
    <t>6,1,11</t>
  </si>
  <si>
    <t>MEDIDOR DE ENERGIA INDIRECTA 13.2KV</t>
  </si>
  <si>
    <t>6,1,12</t>
  </si>
  <si>
    <t>ELEM CONEXION INSTALACION MEDIDA 13.2KV</t>
  </si>
  <si>
    <t>6,1,13</t>
  </si>
  <si>
    <t>TRANSFORMADOR DE POTENCIAL TIPO EXTERIOR MEDIDA INDIRECTA 17.5</t>
  </si>
  <si>
    <t>6,1,14</t>
  </si>
  <si>
    <t>TRANSFORMADOR DE CORRIENTE MEDIA TENSIÓN EXT 20 40-5 Amp 17,5 KV</t>
  </si>
  <si>
    <t>6,1,15</t>
  </si>
  <si>
    <t>TRANSPORTE POSTE EN CONCRETO 18 m x 1050 Kg PARA ALUMBRADO.</t>
  </si>
  <si>
    <t>6,1,16</t>
  </si>
  <si>
    <t>FB-21 CORTACIRCUITOS SISTEMA MONOFASICO</t>
  </si>
  <si>
    <t>6,1,17</t>
  </si>
  <si>
    <t>6,1,18</t>
  </si>
  <si>
    <t>PROYECTOR LED 151.3W  ACORDE AL DISEÑO ELÉCTRICO, IGUAL O SUPERIOR.</t>
  </si>
  <si>
    <t>6,1,19</t>
  </si>
  <si>
    <t>Conector empalme de derivación antihumedad 8 puertos 350A - 600V - 614WG GelPort</t>
  </si>
  <si>
    <t>CUARTO TECNICO</t>
  </si>
  <si>
    <t>6,2,1</t>
  </si>
  <si>
    <t>6,2,1,1</t>
  </si>
  <si>
    <t>6,2,1,2</t>
  </si>
  <si>
    <t>TABLERO GENERAL ELÉCTRICO DE ILUMINACIÓN</t>
  </si>
  <si>
    <t>6,2,1,3</t>
  </si>
  <si>
    <t>TABLERO DE CONEXIÓN ILUMINACIÓN</t>
  </si>
  <si>
    <t>ILUMINACION INTERNA</t>
  </si>
  <si>
    <t>6,3,1</t>
  </si>
  <si>
    <t>6,3,1,1</t>
  </si>
  <si>
    <t>AVISO DE SALIDA LED EMERGENCIA</t>
  </si>
  <si>
    <t>6,3,1,2</t>
  </si>
  <si>
    <t>LUMINARIA LED EMERGENCIA R3 2X1W</t>
  </si>
  <si>
    <t>6,3,1,3</t>
  </si>
  <si>
    <t>SAL LAMP PVC 1/2" ILUMINACIÓN EMERGENCIA</t>
  </si>
  <si>
    <t>6,3,1,4</t>
  </si>
  <si>
    <t>LED BALA PANEL 12W Según diseño</t>
  </si>
  <si>
    <t>SISTEMA DE ILUMINACION</t>
  </si>
  <si>
    <t>6,4,1</t>
  </si>
  <si>
    <t>CABLEADO ELECTRICO</t>
  </si>
  <si>
    <t>6,4,1,1</t>
  </si>
  <si>
    <t>ACOMETIDA 2F#2/0 AWG THHN AL  + 1N#2/0" AWG THHN AL ∅ 3" PVC + RESERVA</t>
  </si>
  <si>
    <t>LINEA A TIERRA</t>
  </si>
  <si>
    <t>6,5,1</t>
  </si>
  <si>
    <t>CABLE A TIERRA</t>
  </si>
  <si>
    <t>6,5,1,1</t>
  </si>
  <si>
    <t>KIT SISTEMA DE PUESTA A TIERRA CON MSVC SIN CABLE DE TIERRA</t>
  </si>
  <si>
    <t>6,5,1,2</t>
  </si>
  <si>
    <t>Cable Aislado No 6 AWG Aluminio LIBRE DE HALOGENOS</t>
  </si>
  <si>
    <t>6,6,1</t>
  </si>
  <si>
    <t>6,6,1,1</t>
  </si>
  <si>
    <t>6,6,1,2</t>
  </si>
  <si>
    <t>6,7,1</t>
  </si>
  <si>
    <t>6,7,1,1</t>
  </si>
  <si>
    <t>6,8,1</t>
  </si>
  <si>
    <t>6,8,1,1</t>
  </si>
  <si>
    <t>6,8,1,2</t>
  </si>
  <si>
    <t>6,8,1,3</t>
  </si>
  <si>
    <t xml:space="preserve">TRATAMIENTO QUIMICO 12 KG </t>
  </si>
  <si>
    <t>6,8,1,4</t>
  </si>
  <si>
    <t>CERRAMIENTO
GUACARI</t>
  </si>
  <si>
    <t xml:space="preserve">CIMENTACION   </t>
  </si>
  <si>
    <t>VIGA CIMIENTO ENLACE H=20-40CM 3100PSI</t>
  </si>
  <si>
    <t>PILOTE CONCRETO 3100 PSI 21.0 MPA</t>
  </si>
  <si>
    <t>ESTRUCTURA Y MALLA</t>
  </si>
  <si>
    <t>MURO LADRILLO SOGA LIMPIO 2C</t>
  </si>
  <si>
    <t>CINTA CONFINAMIENTO MURO</t>
  </si>
  <si>
    <t>PEDESTAL CONCRETO 3000 PSI</t>
  </si>
  <si>
    <t xml:space="preserve">MALLA ESLABONADA GALV HUECOS 2-1/4X21/4 2.77MM </t>
  </si>
  <si>
    <t>POSTE TUBO GALV. 1,1/2"x1.8MM C.14"</t>
  </si>
  <si>
    <t>DIAGONAL-HORIZ.TUBO GALV CAL 16 X 1,1/2"</t>
  </si>
  <si>
    <t>PINTURA ESMALTE COLOR AZUL (PANTONE P112-5C)</t>
  </si>
  <si>
    <t xml:space="preserve"> M2</t>
  </si>
  <si>
    <t>TAPON GALV.MACHO 2"</t>
  </si>
  <si>
    <t>NAVE PUERTA TUBO ACUE MALLA(2x1.01-1.5) TIPO 1</t>
  </si>
  <si>
    <t>NAVE PUERTA TUBO ACUE MALLA(2x2.51-3.0) TIPO 2</t>
  </si>
  <si>
    <t>CERRAMIENTO ALAMBRE PUAS 5 HILOS</t>
  </si>
  <si>
    <t>IMPERMEABILIZACIONES</t>
  </si>
  <si>
    <t xml:space="preserve">IMPERMEABILIZACION MURO  </t>
  </si>
  <si>
    <t xml:space="preserve">LAVADO DE MURO CON ACIDO   </t>
  </si>
  <si>
    <t xml:space="preserve">CIMENTACION </t>
  </si>
  <si>
    <t>VIGA CONCRETO AEREA 3000 PSI</t>
  </si>
  <si>
    <t>MURO LAD.SOGA LIMPIO 2C</t>
  </si>
  <si>
    <t>PINTURA ESMALTE COLOR AZUL (PANTONE P112-5C) MALA ESLABONADA</t>
  </si>
  <si>
    <t>IMPERMEABILIZACION</t>
  </si>
  <si>
    <t>CIMENTACION</t>
  </si>
  <si>
    <t>MICROPILOTE O PILOTE</t>
  </si>
  <si>
    <t>DADO CONCRETO 3100 PSI 21.0 MPA</t>
  </si>
  <si>
    <t>ACERO ESTRUCTURAL</t>
  </si>
  <si>
    <t>KG</t>
  </si>
  <si>
    <t>ADECUACION ZONA CENTRAL E ILUMINACION DE PATINODROMO CANDELARIA</t>
  </si>
  <si>
    <t>GEOTEXTIL NO TEJIDO</t>
  </si>
  <si>
    <t>CARGUE Y RETIRO DE SOBRANTES A MAQUINA &lt;=10KM</t>
  </si>
  <si>
    <t>CONCRETOS</t>
  </si>
  <si>
    <t>PEDESTAL CONCRETO 4000 PSI 28 MPA</t>
  </si>
  <si>
    <t>PILOTE CONCRETO REFORZADO</t>
  </si>
  <si>
    <t xml:space="preserve">ACERO REFUERZO FLEJADO 60000 PSI 420Mpa	</t>
  </si>
  <si>
    <t xml:space="preserve">SOLADO ESPESOR E=0.07M 3000 PSI 210 MPA	</t>
  </si>
  <si>
    <t>ADITIVO ACELERANTE DE FRAGUADO</t>
  </si>
  <si>
    <t>REDES DE MEDIA TENSION Y TRANSFORMACION</t>
  </si>
  <si>
    <t>GL</t>
  </si>
  <si>
    <t>CABLE COBRE HF-ZH# 1/0</t>
  </si>
  <si>
    <t>TUBO GALV 2" X3 M.</t>
  </si>
  <si>
    <t>CAPACETE GALV 2"</t>
  </si>
  <si>
    <t xml:space="preserve">TUBERIA  </t>
  </si>
  <si>
    <t>TUBO PVC 2"</t>
  </si>
  <si>
    <t>TABLERO DE CONTROL GENERAL Y PROTECCINOES</t>
  </si>
  <si>
    <t>TABLERO DERIVACION EN POSTE CON 12 SALIDAS  PARA REFLECTORES Y PROTECCIONES</t>
  </si>
  <si>
    <t>CONDUCTORES ELECTRICOS</t>
  </si>
  <si>
    <t>2,5,3</t>
  </si>
  <si>
    <t>CABLE COBRE HLFR# 4/0</t>
  </si>
  <si>
    <t>SALIDAS ELECTRICAS INTERNAS</t>
  </si>
  <si>
    <t xml:space="preserve"> </t>
  </si>
  <si>
    <t>2,6,1</t>
  </si>
  <si>
    <t>2,6,2</t>
  </si>
  <si>
    <t>2,6,3</t>
  </si>
  <si>
    <t>2,6,4</t>
  </si>
  <si>
    <t>SAL LAMP EMT</t>
  </si>
  <si>
    <t>2,6,5</t>
  </si>
  <si>
    <t>SALIDA S1 EMT</t>
  </si>
  <si>
    <t>2,6,6</t>
  </si>
  <si>
    <t>SAL TOMA 120 EMT ZONA HUMEDA</t>
  </si>
  <si>
    <t>2,6,7</t>
  </si>
  <si>
    <t>SAL TOMA 120 EMT</t>
  </si>
  <si>
    <t>2,6,8</t>
  </si>
  <si>
    <t>SAL TOMA 220 EMT</t>
  </si>
  <si>
    <t>2,6,9</t>
  </si>
  <si>
    <t>TUBERIA EMT 3/4</t>
  </si>
  <si>
    <t>2,7,1</t>
  </si>
  <si>
    <t>LED 1200W según planos y memorias</t>
  </si>
  <si>
    <t>MASTILES</t>
  </si>
  <si>
    <t>2,8,1</t>
  </si>
  <si>
    <t>MASTIL 24M CON CANASTILLA</t>
  </si>
  <si>
    <t>2,9,1</t>
  </si>
  <si>
    <t>2,9,2</t>
  </si>
  <si>
    <t>2,9,3</t>
  </si>
  <si>
    <t>2,10,1</t>
  </si>
  <si>
    <t>2,10,2</t>
  </si>
  <si>
    <t>2,10,3</t>
  </si>
  <si>
    <t>2,10,4</t>
  </si>
  <si>
    <t>2,10,5</t>
  </si>
  <si>
    <t>2,10,6</t>
  </si>
  <si>
    <t>2,10,7</t>
  </si>
  <si>
    <t>2,10,8</t>
  </si>
  <si>
    <t>CERTIFICACION RETIE USO FINAL (LA UNION)</t>
  </si>
  <si>
    <t>CERTIFICACION RETIE USO FINAL (LA VICTORIA)</t>
  </si>
  <si>
    <t>CERTIFICACIÓN RETIE (GINEBRA)</t>
  </si>
  <si>
    <t>IMPUESTOS EPSA 2% INSPECCION TECNICA (GINEBRA)</t>
  </si>
  <si>
    <t>CERTIFICACIÓN RETIE (ANSERMANUEVO)</t>
  </si>
  <si>
    <t>IMPUESTOS EPSA 2% INSPECCION TECNICA (ANSERMANUEVO)</t>
  </si>
  <si>
    <t>TRAMITES DE APROVECHAMIENTO (ANSERMANUEVO)</t>
  </si>
  <si>
    <t>PLAN DE MANEJO DE TRANSITO (PMT)</t>
  </si>
  <si>
    <t>PLAN DE MANEJO AMBIENTAL (PMA)</t>
  </si>
  <si>
    <t>TRAMITES DE APROVECHAMIENTO (GUACARÍ)</t>
  </si>
  <si>
    <t>CERTIFICACIONES RETIE Y RETILAP (CANDELARIA)</t>
  </si>
  <si>
    <t>VALOR TOTAL PRESUPUESTO</t>
  </si>
  <si>
    <t>Tramites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</si>
</sst>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 &quot;&quot;$&quot;&quot; &quot;* #,##0&quot; &quot;;&quot;-&quot;&quot;$&quot;&quot; &quot;* #,##0&quot; &quot;;&quot; &quot;&quot;$&quot;&quot; &quot;* &quot;-&quot;??&quot; &quot;"/>
    <numFmt numFmtId="166" formatCode="&quot; &quot;&quot;$&quot;&quot; &quot;* #,##0.00&quot; &quot;;&quot;-&quot;&quot;$&quot;&quot; &quot;* #,##0.00&quot; &quot;;&quot; &quot;&quot;$&quot;&quot; &quot;* &quot;-&quot;??&quot; &quot;"/>
    <numFmt numFmtId="167" formatCode="&quot; &quot;&quot;$&quot;&quot; &quot;* #,##0&quot; &quot;;&quot; &quot;&quot;$&quot;&quot; &quot;* \(#,##0\);&quot; &quot;&quot;$&quot;&quot; &quot;* &quot;-&quot;??&quot; &quot;"/>
    <numFmt numFmtId="168" formatCode="&quot; &quot;&quot;$&quot;&quot; &quot;* #,##0.00&quot; &quot;;&quot; &quot;&quot;$&quot;&quot; &quot;* \(#,##0.00\);&quot; &quot;&quot;$&quot;&quot; &quot;* &quot;-&quot;??&quot; &quot;"/>
    <numFmt numFmtId="169" formatCode="#,##0&quot; &quot;;&quot;-&quot;#,##0&quot; &quot;"/>
    <numFmt numFmtId="170" formatCode="#,##0.00&quot; &quot;;\(#,##0.00\)"/>
    <numFmt numFmtId="171" formatCode="&quot; &quot;&quot;$&quot;* #,##0.00&quot; &quot;;&quot;-&quot;&quot;$&quot;* #,##0.00&quot; &quot;;&quot; &quot;&quot;$&quot;* &quot;-&quot;??&quot; &quot;"/>
  </numFmts>
  <fonts count="1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6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Arial Narrow"/>
      <family val="2"/>
    </font>
    <font>
      <b/>
      <sz val="12"/>
      <color indexed="8"/>
      <name val="Arial"/>
      <family val="2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u/>
      <sz val="10"/>
      <color indexed="20"/>
      <name val="Arial"/>
      <family val="2"/>
    </font>
    <font>
      <sz val="8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vertical="center" wrapText="1"/>
    </xf>
    <xf numFmtId="0" fontId="6" fillId="2" borderId="0" xfId="0" applyFont="1" applyFill="1" applyBorder="1"/>
    <xf numFmtId="0" fontId="7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 wrapText="1"/>
    </xf>
    <xf numFmtId="0" fontId="0" fillId="2" borderId="2" xfId="0" applyFill="1" applyBorder="1"/>
    <xf numFmtId="0" fontId="0" fillId="2" borderId="0" xfId="0" applyNumberFormat="1" applyFill="1" applyBorder="1"/>
    <xf numFmtId="0" fontId="8" fillId="2" borderId="0" xfId="0" applyFont="1" applyFill="1" applyBorder="1"/>
    <xf numFmtId="0" fontId="4" fillId="2" borderId="2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vertical="center" wrapText="1"/>
    </xf>
    <xf numFmtId="165" fontId="5" fillId="2" borderId="2" xfId="0" applyNumberFormat="1" applyFont="1" applyFill="1" applyBorder="1" applyAlignment="1">
      <alignment horizontal="right" vertical="center" wrapText="1"/>
    </xf>
    <xf numFmtId="0" fontId="2" fillId="0" borderId="0" xfId="0" applyFont="1" applyBorder="1"/>
    <xf numFmtId="0" fontId="7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vertical="center" wrapText="1"/>
    </xf>
    <xf numFmtId="2" fontId="5" fillId="0" borderId="2" xfId="0" applyNumberFormat="1" applyFont="1" applyFill="1" applyBorder="1" applyAlignment="1">
      <alignment horizontal="right" vertical="center" wrapText="1"/>
    </xf>
    <xf numFmtId="166" fontId="5" fillId="0" borderId="2" xfId="0" applyNumberFormat="1" applyFont="1" applyFill="1" applyBorder="1"/>
    <xf numFmtId="166" fontId="5" fillId="0" borderId="2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/>
    <xf numFmtId="0" fontId="5" fillId="0" borderId="0" xfId="0" applyFont="1" applyBorder="1"/>
    <xf numFmtId="0" fontId="5" fillId="0" borderId="0" xfId="0" applyNumberFormat="1" applyFont="1" applyBorder="1"/>
    <xf numFmtId="0" fontId="2" fillId="2" borderId="0" xfId="0" applyFont="1" applyFill="1" applyBorder="1"/>
    <xf numFmtId="0" fontId="5" fillId="2" borderId="0" xfId="0" applyFont="1" applyFill="1" applyBorder="1"/>
    <xf numFmtId="0" fontId="5" fillId="2" borderId="0" xfId="0" applyNumberFormat="1" applyFont="1" applyFill="1" applyBorder="1"/>
    <xf numFmtId="0" fontId="4" fillId="2" borderId="2" xfId="0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vertical="center" wrapText="1"/>
    </xf>
    <xf numFmtId="9" fontId="5" fillId="0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NumberFormat="1" applyFont="1" applyFill="1" applyBorder="1"/>
    <xf numFmtId="49" fontId="5" fillId="2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11" fillId="2" borderId="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167" fontId="4" fillId="0" borderId="0" xfId="0" applyNumberFormat="1" applyFont="1" applyFill="1" applyBorder="1" applyAlignment="1">
      <alignment vertical="center"/>
    </xf>
    <xf numFmtId="0" fontId="12" fillId="0" borderId="0" xfId="0" applyFont="1" applyBorder="1"/>
    <xf numFmtId="49" fontId="4" fillId="0" borderId="2" xfId="0" applyNumberFormat="1" applyFont="1" applyFill="1" applyBorder="1" applyAlignment="1">
      <alignment horizontal="left" vertical="center"/>
    </xf>
    <xf numFmtId="9" fontId="5" fillId="0" borderId="2" xfId="0" applyNumberFormat="1" applyFont="1" applyFill="1" applyBorder="1" applyAlignment="1">
      <alignment horizontal="center" vertical="center"/>
    </xf>
    <xf numFmtId="168" fontId="4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49" fontId="5" fillId="0" borderId="2" xfId="0" applyNumberFormat="1" applyFont="1" applyFill="1" applyBorder="1"/>
    <xf numFmtId="0" fontId="13" fillId="0" borderId="2" xfId="0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center"/>
    </xf>
    <xf numFmtId="0" fontId="12" fillId="0" borderId="0" xfId="0" applyFont="1" applyFill="1" applyBorder="1"/>
    <xf numFmtId="49" fontId="5" fillId="0" borderId="2" xfId="0" applyNumberFormat="1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6" fillId="0" borderId="0" xfId="0" applyFont="1" applyBorder="1"/>
    <xf numFmtId="0" fontId="14" fillId="0" borderId="2" xfId="0" applyFont="1" applyFill="1" applyBorder="1"/>
    <xf numFmtId="0" fontId="0" fillId="0" borderId="2" xfId="0" applyFill="1" applyBorder="1"/>
    <xf numFmtId="0" fontId="4" fillId="0" borderId="2" xfId="0" applyFont="1" applyFill="1" applyBorder="1" applyAlignment="1">
      <alignment horizontal="right"/>
    </xf>
    <xf numFmtId="169" fontId="4" fillId="0" borderId="2" xfId="0" applyNumberFormat="1" applyFont="1" applyFill="1" applyBorder="1" applyAlignment="1">
      <alignment horizontal="right"/>
    </xf>
    <xf numFmtId="0" fontId="15" fillId="0" borderId="0" xfId="0" applyFont="1" applyBorder="1"/>
    <xf numFmtId="0" fontId="0" fillId="0" borderId="0" xfId="0" applyNumberFormat="1" applyBorder="1"/>
    <xf numFmtId="2" fontId="5" fillId="0" borderId="0" xfId="0" applyNumberFormat="1" applyFont="1" applyFill="1" applyBorder="1"/>
    <xf numFmtId="168" fontId="5" fillId="0" borderId="0" xfId="0" applyNumberFormat="1" applyFont="1" applyFill="1" applyBorder="1"/>
    <xf numFmtId="170" fontId="4" fillId="0" borderId="0" xfId="0" applyNumberFormat="1" applyFont="1" applyFill="1" applyBorder="1" applyAlignment="1">
      <alignment vertical="center"/>
    </xf>
    <xf numFmtId="171" fontId="4" fillId="0" borderId="2" xfId="0" applyNumberFormat="1" applyFont="1" applyFill="1" applyBorder="1" applyAlignment="1">
      <alignment vertical="center"/>
    </xf>
    <xf numFmtId="0" fontId="13" fillId="0" borderId="0" xfId="0" applyFont="1" applyBorder="1"/>
    <xf numFmtId="0" fontId="13" fillId="0" borderId="0" xfId="0" applyFont="1" applyFill="1" applyBorder="1"/>
    <xf numFmtId="0" fontId="1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7"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1E9E-83CC-4E7A-8B76-9D7D693D5C70}">
  <sheetPr filterMode="1">
    <pageSetUpPr fitToPage="1"/>
  </sheetPr>
  <dimension ref="A1:S806"/>
  <sheetViews>
    <sheetView showGridLines="0" tabSelected="1" view="pageBreakPreview" topLeftCell="A454" zoomScale="85" zoomScaleNormal="85" zoomScaleSheetLayoutView="85" workbookViewId="0">
      <selection activeCell="D459" sqref="D459"/>
    </sheetView>
  </sheetViews>
  <sheetFormatPr baseColWidth="10" defaultColWidth="14.42578125" defaultRowHeight="14.25" x14ac:dyDescent="0.2"/>
  <cols>
    <col min="1" max="1" width="3.28515625" style="3" customWidth="1"/>
    <col min="2" max="2" width="22.85546875" style="3" bestFit="1" customWidth="1"/>
    <col min="3" max="3" width="12.28515625" style="3" customWidth="1"/>
    <col min="4" max="4" width="81.7109375" style="3" customWidth="1"/>
    <col min="5" max="5" width="10.7109375" style="38" customWidth="1"/>
    <col min="6" max="6" width="12.140625" style="38" customWidth="1"/>
    <col min="7" max="7" width="19.85546875" style="38" customWidth="1"/>
    <col min="8" max="8" width="24.28515625" style="38" customWidth="1"/>
    <col min="9" max="9" width="18.42578125" style="3" customWidth="1"/>
    <col min="10" max="19" width="12.28515625" style="3" customWidth="1"/>
    <col min="20" max="20" width="14.42578125" style="3" customWidth="1"/>
    <col min="21" max="16384" width="14.42578125" style="3"/>
  </cols>
  <sheetData>
    <row r="1" spans="1:19" ht="21" thickBot="1" x14ac:dyDescent="0.35">
      <c r="A1" s="1"/>
      <c r="B1" s="79" t="s">
        <v>0</v>
      </c>
      <c r="C1" s="79"/>
      <c r="D1" s="79"/>
      <c r="E1" s="80"/>
      <c r="F1" s="80"/>
      <c r="G1" s="80"/>
      <c r="H1" s="80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30" x14ac:dyDescent="0.25">
      <c r="A2" s="1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s="9" customFormat="1" ht="47.25" hidden="1" x14ac:dyDescent="0.3">
      <c r="A3" s="5"/>
      <c r="B3" s="7" t="s">
        <v>8</v>
      </c>
      <c r="C3" s="11">
        <v>1</v>
      </c>
      <c r="D3" s="12" t="s">
        <v>9</v>
      </c>
      <c r="E3" s="8"/>
      <c r="F3" s="8"/>
      <c r="G3" s="8"/>
      <c r="H3" s="8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9" customFormat="1" ht="47.25" hidden="1" x14ac:dyDescent="0.3">
      <c r="A4" s="5"/>
      <c r="B4" s="7" t="s">
        <v>8</v>
      </c>
      <c r="C4" s="13">
        <v>1.1000000000000001</v>
      </c>
      <c r="D4" s="14" t="s">
        <v>10</v>
      </c>
      <c r="E4" s="15"/>
      <c r="F4" s="16"/>
      <c r="G4" s="17"/>
      <c r="H4" s="17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s="27" customFormat="1" ht="47.25" hidden="1" x14ac:dyDescent="0.2">
      <c r="A5" s="18"/>
      <c r="B5" s="7" t="s">
        <v>8</v>
      </c>
      <c r="C5" s="20" t="s">
        <v>11</v>
      </c>
      <c r="D5" s="21" t="s">
        <v>12</v>
      </c>
      <c r="E5" s="20" t="s">
        <v>13</v>
      </c>
      <c r="F5" s="22">
        <v>1351</v>
      </c>
      <c r="G5" s="23">
        <v>5503.1399999999994</v>
      </c>
      <c r="H5" s="24">
        <f>ROUND(F5*G5,0)</f>
        <v>7434742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spans="1:19" s="27" customFormat="1" ht="47.25" hidden="1" x14ac:dyDescent="0.2">
      <c r="A6" s="18"/>
      <c r="B6" s="7" t="s">
        <v>8</v>
      </c>
      <c r="C6" s="20" t="s">
        <v>14</v>
      </c>
      <c r="D6" s="21" t="s">
        <v>15</v>
      </c>
      <c r="E6" s="20" t="s">
        <v>16</v>
      </c>
      <c r="F6" s="22">
        <v>174</v>
      </c>
      <c r="G6" s="23">
        <v>11403.492</v>
      </c>
      <c r="H6" s="24">
        <f>ROUND(F6*G6,0)</f>
        <v>1984208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1:19" s="27" customFormat="1" ht="47.25" hidden="1" x14ac:dyDescent="0.2">
      <c r="A7" s="18"/>
      <c r="B7" s="7" t="s">
        <v>8</v>
      </c>
      <c r="C7" s="20" t="s">
        <v>17</v>
      </c>
      <c r="D7" s="21" t="s">
        <v>18</v>
      </c>
      <c r="E7" s="20" t="s">
        <v>19</v>
      </c>
      <c r="F7" s="22">
        <v>1</v>
      </c>
      <c r="G7" s="23">
        <v>3204661.86</v>
      </c>
      <c r="H7" s="24">
        <f>ROUND(F7*G7,0)</f>
        <v>3204662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1:19" s="30" customFormat="1" ht="47.25" hidden="1" x14ac:dyDescent="0.2">
      <c r="A8" s="28"/>
      <c r="B8" s="7" t="s">
        <v>8</v>
      </c>
      <c r="C8" s="13">
        <v>1.2</v>
      </c>
      <c r="D8" s="12" t="s">
        <v>20</v>
      </c>
      <c r="E8" s="15"/>
      <c r="F8" s="16"/>
      <c r="G8" s="16"/>
      <c r="H8" s="17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19" s="27" customFormat="1" ht="47.25" hidden="1" x14ac:dyDescent="0.2">
      <c r="A9" s="18"/>
      <c r="B9" s="7" t="s">
        <v>8</v>
      </c>
      <c r="C9" s="20" t="s">
        <v>21</v>
      </c>
      <c r="D9" s="21" t="s">
        <v>22</v>
      </c>
      <c r="E9" s="20" t="s">
        <v>23</v>
      </c>
      <c r="F9" s="22">
        <v>839.22</v>
      </c>
      <c r="G9" s="23">
        <v>27462.611999999997</v>
      </c>
      <c r="H9" s="24">
        <f>ROUND(F9*G9,0)</f>
        <v>23047173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1:19" s="27" customFormat="1" ht="47.25" hidden="1" x14ac:dyDescent="0.2">
      <c r="A10" s="18"/>
      <c r="B10" s="7" t="s">
        <v>8</v>
      </c>
      <c r="C10" s="20" t="s">
        <v>24</v>
      </c>
      <c r="D10" s="21" t="s">
        <v>25</v>
      </c>
      <c r="E10" s="20" t="s">
        <v>23</v>
      </c>
      <c r="F10" s="22">
        <v>195.45</v>
      </c>
      <c r="G10" s="23">
        <v>114330.696</v>
      </c>
      <c r="H10" s="24">
        <f>ROUND(F10*G10,0)</f>
        <v>22345935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spans="1:19" s="27" customFormat="1" ht="47.25" hidden="1" x14ac:dyDescent="0.2">
      <c r="A11" s="18"/>
      <c r="B11" s="7" t="s">
        <v>8</v>
      </c>
      <c r="C11" s="20" t="s">
        <v>26</v>
      </c>
      <c r="D11" s="21" t="s">
        <v>27</v>
      </c>
      <c r="E11" s="20" t="s">
        <v>23</v>
      </c>
      <c r="F11" s="22">
        <v>396.12</v>
      </c>
      <c r="G11" s="23">
        <v>69488.399999999994</v>
      </c>
      <c r="H11" s="24">
        <f>ROUND(F11*G11,0)</f>
        <v>27525745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</row>
    <row r="12" spans="1:19" s="27" customFormat="1" ht="47.25" hidden="1" x14ac:dyDescent="0.2">
      <c r="A12" s="18"/>
      <c r="B12" s="7" t="s">
        <v>8</v>
      </c>
      <c r="C12" s="20" t="s">
        <v>28</v>
      </c>
      <c r="D12" s="21" t="s">
        <v>29</v>
      </c>
      <c r="E12" s="20" t="s">
        <v>13</v>
      </c>
      <c r="F12" s="22">
        <v>1303</v>
      </c>
      <c r="G12" s="23">
        <v>10628.975999999999</v>
      </c>
      <c r="H12" s="24">
        <f>ROUND(F12*G12,0)</f>
        <v>13849556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</row>
    <row r="13" spans="1:19" s="27" customFormat="1" ht="47.25" hidden="1" x14ac:dyDescent="0.2">
      <c r="A13" s="18"/>
      <c r="B13" s="7" t="s">
        <v>8</v>
      </c>
      <c r="C13" s="20" t="s">
        <v>30</v>
      </c>
      <c r="D13" s="21" t="s">
        <v>31</v>
      </c>
      <c r="E13" s="20" t="s">
        <v>13</v>
      </c>
      <c r="F13" s="22">
        <v>1303</v>
      </c>
      <c r="G13" s="23">
        <v>10759.8</v>
      </c>
      <c r="H13" s="24">
        <f>ROUND(F13*G13,0)</f>
        <v>14020019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spans="1:19" s="27" customFormat="1" ht="47.25" hidden="1" x14ac:dyDescent="0.2">
      <c r="A14" s="18"/>
      <c r="B14" s="7" t="s">
        <v>8</v>
      </c>
      <c r="C14" s="20" t="s">
        <v>32</v>
      </c>
      <c r="D14" s="21" t="s">
        <v>33</v>
      </c>
      <c r="E14" s="20" t="s">
        <v>13</v>
      </c>
      <c r="F14" s="22">
        <v>1303</v>
      </c>
      <c r="G14" s="23">
        <v>5481.3359999999993</v>
      </c>
      <c r="H14" s="24">
        <f>ROUND(F14*G14,0)</f>
        <v>7142181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spans="1:19" s="27" customFormat="1" ht="47.25" hidden="1" x14ac:dyDescent="0.2">
      <c r="A15" s="18"/>
      <c r="B15" s="7" t="s">
        <v>8</v>
      </c>
      <c r="C15" s="20" t="s">
        <v>34</v>
      </c>
      <c r="D15" s="21" t="s">
        <v>35</v>
      </c>
      <c r="E15" s="20" t="s">
        <v>13</v>
      </c>
      <c r="F15" s="22">
        <v>1303</v>
      </c>
      <c r="G15" s="23">
        <v>1437.1679999999999</v>
      </c>
      <c r="H15" s="24">
        <f>ROUND(F15*G15,0)</f>
        <v>1872630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 spans="1:19" s="27" customFormat="1" ht="47.25" hidden="1" x14ac:dyDescent="0.2">
      <c r="A16" s="18"/>
      <c r="B16" s="7" t="s">
        <v>8</v>
      </c>
      <c r="C16" s="20" t="s">
        <v>36</v>
      </c>
      <c r="D16" s="21" t="s">
        <v>37</v>
      </c>
      <c r="E16" s="20" t="s">
        <v>38</v>
      </c>
      <c r="F16" s="22">
        <v>140849.95000000001</v>
      </c>
      <c r="G16" s="23">
        <v>1598.328</v>
      </c>
      <c r="H16" s="24">
        <f>ROUND(F16*G16,0)</f>
        <v>225124419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</row>
    <row r="17" spans="1:19" s="27" customFormat="1" ht="47.25" hidden="1" x14ac:dyDescent="0.2">
      <c r="A17" s="18"/>
      <c r="B17" s="7" t="s">
        <v>8</v>
      </c>
      <c r="C17" s="20" t="s">
        <v>39</v>
      </c>
      <c r="D17" s="21" t="s">
        <v>40</v>
      </c>
      <c r="E17" s="20" t="s">
        <v>23</v>
      </c>
      <c r="F17" s="22">
        <v>1894.57</v>
      </c>
      <c r="G17" s="23">
        <v>10328.459999999999</v>
      </c>
      <c r="H17" s="24">
        <f>ROUND(F17*G17,0)</f>
        <v>19567990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</row>
    <row r="18" spans="1:19" s="27" customFormat="1" ht="47.25" hidden="1" x14ac:dyDescent="0.2">
      <c r="A18" s="18"/>
      <c r="B18" s="7" t="s">
        <v>8</v>
      </c>
      <c r="C18" s="20" t="s">
        <v>41</v>
      </c>
      <c r="D18" s="21" t="s">
        <v>42</v>
      </c>
      <c r="E18" s="20" t="s">
        <v>23</v>
      </c>
      <c r="F18" s="22">
        <v>2733.79</v>
      </c>
      <c r="G18" s="23">
        <v>8567.0759999999991</v>
      </c>
      <c r="H18" s="24">
        <f>ROUND(F18*G18,0)</f>
        <v>23420587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spans="1:19" s="30" customFormat="1" ht="47.25" hidden="1" x14ac:dyDescent="0.2">
      <c r="A19" s="28"/>
      <c r="B19" s="7" t="s">
        <v>8</v>
      </c>
      <c r="C19" s="13">
        <v>1.3</v>
      </c>
      <c r="D19" s="12" t="s">
        <v>43</v>
      </c>
      <c r="E19" s="15"/>
      <c r="F19" s="16"/>
      <c r="G19" s="16"/>
      <c r="H19" s="17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spans="1:19" s="27" customFormat="1" ht="47.25" hidden="1" x14ac:dyDescent="0.2">
      <c r="A20" s="18"/>
      <c r="B20" s="7" t="s">
        <v>8</v>
      </c>
      <c r="C20" s="20" t="s">
        <v>44</v>
      </c>
      <c r="D20" s="21" t="s">
        <v>45</v>
      </c>
      <c r="E20" s="20" t="s">
        <v>23</v>
      </c>
      <c r="F20" s="22">
        <v>195.45</v>
      </c>
      <c r="G20" s="23">
        <v>683730.77999999991</v>
      </c>
      <c r="H20" s="24">
        <f>ROUND(F20*G20,0)</f>
        <v>133635181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spans="1:19" s="27" customFormat="1" ht="47.25" hidden="1" x14ac:dyDescent="0.2">
      <c r="A21" s="18"/>
      <c r="B21" s="7" t="s">
        <v>8</v>
      </c>
      <c r="C21" s="20" t="s">
        <v>46</v>
      </c>
      <c r="D21" s="21" t="s">
        <v>47</v>
      </c>
      <c r="E21" s="20" t="s">
        <v>48</v>
      </c>
      <c r="F21" s="22">
        <v>5819.2</v>
      </c>
      <c r="G21" s="23">
        <v>7816.2599999999993</v>
      </c>
      <c r="H21" s="24">
        <f>ROUND(F21*G21,0)</f>
        <v>45484380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spans="1:19" s="27" customFormat="1" ht="47.25" hidden="1" x14ac:dyDescent="0.2">
      <c r="A22" s="18"/>
      <c r="B22" s="7" t="s">
        <v>8</v>
      </c>
      <c r="C22" s="20" t="s">
        <v>49</v>
      </c>
      <c r="D22" s="21" t="s">
        <v>50</v>
      </c>
      <c r="E22" s="20" t="s">
        <v>48</v>
      </c>
      <c r="F22" s="22">
        <v>1260.25</v>
      </c>
      <c r="G22" s="23">
        <v>6597.1319999999996</v>
      </c>
      <c r="H22" s="24">
        <f>ROUND(F22*G22,0)</f>
        <v>8314036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</row>
    <row r="23" spans="1:19" s="27" customFormat="1" ht="47.25" hidden="1" x14ac:dyDescent="0.2">
      <c r="A23" s="18"/>
      <c r="B23" s="7" t="s">
        <v>8</v>
      </c>
      <c r="C23" s="20" t="s">
        <v>51</v>
      </c>
      <c r="D23" s="21" t="s">
        <v>52</v>
      </c>
      <c r="E23" s="20" t="s">
        <v>16</v>
      </c>
      <c r="F23" s="22">
        <v>1060</v>
      </c>
      <c r="G23" s="23">
        <v>6973.4879999999994</v>
      </c>
      <c r="H23" s="24">
        <f>ROUND(F23*G23,0)</f>
        <v>7391897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</row>
    <row r="24" spans="1:19" s="27" customFormat="1" ht="47.25" hidden="1" x14ac:dyDescent="0.2">
      <c r="A24" s="18"/>
      <c r="B24" s="7" t="s">
        <v>8</v>
      </c>
      <c r="C24" s="20" t="s">
        <v>53</v>
      </c>
      <c r="D24" s="21" t="s">
        <v>54</v>
      </c>
      <c r="E24" s="20" t="s">
        <v>16</v>
      </c>
      <c r="F24" s="22">
        <v>1060</v>
      </c>
      <c r="G24" s="23">
        <v>4029</v>
      </c>
      <c r="H24" s="24">
        <f>ROUND(F24*G24,0)</f>
        <v>4270740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</row>
    <row r="25" spans="1:19" s="27" customFormat="1" ht="47.25" hidden="1" x14ac:dyDescent="0.2">
      <c r="A25" s="18"/>
      <c r="B25" s="7" t="s">
        <v>8</v>
      </c>
      <c r="C25" s="20" t="s">
        <v>55</v>
      </c>
      <c r="D25" s="21" t="s">
        <v>56</v>
      </c>
      <c r="E25" s="20" t="s">
        <v>16</v>
      </c>
      <c r="F25" s="22">
        <v>1060</v>
      </c>
      <c r="G25" s="23">
        <v>69560.447999999989</v>
      </c>
      <c r="H25" s="24">
        <f>ROUND(F25*G25,0)</f>
        <v>73734075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spans="1:19" s="27" customFormat="1" ht="47.25" hidden="1" x14ac:dyDescent="0.2">
      <c r="A26" s="18"/>
      <c r="B26" s="7" t="s">
        <v>8</v>
      </c>
      <c r="C26" s="20" t="s">
        <v>57</v>
      </c>
      <c r="D26" s="21" t="s">
        <v>58</v>
      </c>
      <c r="E26" s="20" t="s">
        <v>13</v>
      </c>
      <c r="F26" s="22">
        <v>1303</v>
      </c>
      <c r="G26" s="23">
        <v>35220.095999999998</v>
      </c>
      <c r="H26" s="24">
        <f>ROUND(F26*G26,0)</f>
        <v>45891785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spans="1:19" s="27" customFormat="1" ht="47.25" hidden="1" x14ac:dyDescent="0.2">
      <c r="A27" s="18"/>
      <c r="B27" s="7" t="s">
        <v>8</v>
      </c>
      <c r="C27" s="20" t="s">
        <v>59</v>
      </c>
      <c r="D27" s="21" t="s">
        <v>60</v>
      </c>
      <c r="E27" s="20" t="s">
        <v>16</v>
      </c>
      <c r="F27" s="22">
        <v>174</v>
      </c>
      <c r="G27" s="23">
        <v>4550.3999999999996</v>
      </c>
      <c r="H27" s="24">
        <f>ROUND(F27*G27,0)</f>
        <v>791770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spans="1:19" s="27" customFormat="1" ht="71.25" hidden="1" x14ac:dyDescent="0.2">
      <c r="A28" s="18"/>
      <c r="B28" s="7" t="s">
        <v>8</v>
      </c>
      <c r="C28" s="20" t="s">
        <v>61</v>
      </c>
      <c r="D28" s="21" t="s">
        <v>62</v>
      </c>
      <c r="E28" s="20" t="s">
        <v>13</v>
      </c>
      <c r="F28" s="22">
        <v>1303</v>
      </c>
      <c r="G28" s="23">
        <v>136651.356</v>
      </c>
      <c r="H28" s="24">
        <f>ROUND(F28*G28,0)</f>
        <v>178056717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spans="1:19" s="30" customFormat="1" ht="47.25" hidden="1" x14ac:dyDescent="0.2">
      <c r="A29" s="28"/>
      <c r="B29" s="7" t="s">
        <v>8</v>
      </c>
      <c r="C29" s="11">
        <v>2</v>
      </c>
      <c r="D29" s="12" t="s">
        <v>63</v>
      </c>
      <c r="E29" s="31"/>
      <c r="F29" s="31"/>
      <c r="G29" s="31"/>
      <c r="H29" s="31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spans="1:19" s="30" customFormat="1" ht="47.25" hidden="1" x14ac:dyDescent="0.2">
      <c r="A30" s="28"/>
      <c r="B30" s="7" t="s">
        <v>8</v>
      </c>
      <c r="C30" s="13">
        <v>2.1</v>
      </c>
      <c r="D30" s="12" t="s">
        <v>64</v>
      </c>
      <c r="E30" s="15"/>
      <c r="F30" s="16"/>
      <c r="G30" s="16"/>
      <c r="H30" s="17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s="27" customFormat="1" ht="47.25" hidden="1" x14ac:dyDescent="0.2">
      <c r="A31" s="18"/>
      <c r="B31" s="7" t="s">
        <v>8</v>
      </c>
      <c r="C31" s="20" t="s">
        <v>65</v>
      </c>
      <c r="D31" s="21" t="s">
        <v>66</v>
      </c>
      <c r="E31" s="20" t="s">
        <v>23</v>
      </c>
      <c r="F31" s="22">
        <v>11.31</v>
      </c>
      <c r="G31" s="23">
        <v>1101076.4039999999</v>
      </c>
      <c r="H31" s="24">
        <f>ROUND(F31*G31,0)</f>
        <v>12453174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</row>
    <row r="32" spans="1:19" s="27" customFormat="1" ht="47.25" hidden="1" x14ac:dyDescent="0.2">
      <c r="A32" s="18"/>
      <c r="B32" s="7" t="s">
        <v>8</v>
      </c>
      <c r="C32" s="20" t="s">
        <v>67</v>
      </c>
      <c r="D32" s="21" t="s">
        <v>68</v>
      </c>
      <c r="E32" s="20" t="s">
        <v>19</v>
      </c>
      <c r="F32" s="22">
        <v>290</v>
      </c>
      <c r="G32" s="23">
        <v>53765.82</v>
      </c>
      <c r="H32" s="24">
        <f>ROUND(F32*G32,0)</f>
        <v>15592088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</row>
    <row r="33" spans="1:19" s="30" customFormat="1" ht="47.25" hidden="1" x14ac:dyDescent="0.2">
      <c r="A33" s="28"/>
      <c r="B33" s="7" t="s">
        <v>8</v>
      </c>
      <c r="C33" s="13">
        <v>2.2000000000000002</v>
      </c>
      <c r="D33" s="12" t="s">
        <v>69</v>
      </c>
      <c r="E33" s="15"/>
      <c r="F33" s="16"/>
      <c r="G33" s="16"/>
      <c r="H33" s="17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</row>
    <row r="34" spans="1:19" s="27" customFormat="1" ht="47.25" hidden="1" x14ac:dyDescent="0.2">
      <c r="A34" s="18"/>
      <c r="B34" s="7" t="s">
        <v>8</v>
      </c>
      <c r="C34" s="20" t="s">
        <v>70</v>
      </c>
      <c r="D34" s="21" t="s">
        <v>71</v>
      </c>
      <c r="E34" s="20" t="s">
        <v>19</v>
      </c>
      <c r="F34" s="22">
        <v>3</v>
      </c>
      <c r="G34" s="23">
        <v>967241.55599999998</v>
      </c>
      <c r="H34" s="24">
        <f>ROUND(F34*G34,0)</f>
        <v>2901725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</row>
    <row r="35" spans="1:19" s="27" customFormat="1" ht="47.25" hidden="1" x14ac:dyDescent="0.2">
      <c r="A35" s="18"/>
      <c r="B35" s="7" t="s">
        <v>8</v>
      </c>
      <c r="C35" s="20" t="s">
        <v>72</v>
      </c>
      <c r="D35" s="21" t="s">
        <v>73</v>
      </c>
      <c r="E35" s="20" t="s">
        <v>19</v>
      </c>
      <c r="F35" s="22">
        <v>2</v>
      </c>
      <c r="G35" s="23">
        <v>1842997.3199999998</v>
      </c>
      <c r="H35" s="24">
        <f>ROUND(F35*G35,0)</f>
        <v>3685995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</row>
    <row r="36" spans="1:19" s="27" customFormat="1" ht="47.25" hidden="1" x14ac:dyDescent="0.2">
      <c r="A36" s="18"/>
      <c r="B36" s="7" t="s">
        <v>8</v>
      </c>
      <c r="C36" s="20" t="s">
        <v>74</v>
      </c>
      <c r="D36" s="21" t="s">
        <v>75</v>
      </c>
      <c r="E36" s="20" t="s">
        <v>16</v>
      </c>
      <c r="F36" s="22">
        <v>43.44</v>
      </c>
      <c r="G36" s="23">
        <v>119934.32399999999</v>
      </c>
      <c r="H36" s="24">
        <f>ROUND(F36*G36,0)</f>
        <v>5209947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</row>
    <row r="37" spans="1:19" s="30" customFormat="1" ht="47.25" hidden="1" x14ac:dyDescent="0.2">
      <c r="A37" s="28"/>
      <c r="B37" s="7" t="s">
        <v>8</v>
      </c>
      <c r="C37" s="11">
        <v>3</v>
      </c>
      <c r="D37" s="12" t="s">
        <v>76</v>
      </c>
      <c r="E37" s="31"/>
      <c r="F37" s="31"/>
      <c r="G37" s="31"/>
      <c r="H37" s="31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spans="1:19" s="27" customFormat="1" ht="47.25" hidden="1" x14ac:dyDescent="0.2">
      <c r="A38" s="18"/>
      <c r="B38" s="7" t="s">
        <v>8</v>
      </c>
      <c r="C38" s="32">
        <v>3.1</v>
      </c>
      <c r="D38" s="21" t="s">
        <v>77</v>
      </c>
      <c r="E38" s="20" t="s">
        <v>13</v>
      </c>
      <c r="F38" s="22">
        <v>1351</v>
      </c>
      <c r="G38" s="23">
        <v>3602.3999999999996</v>
      </c>
      <c r="H38" s="24">
        <f>ROUND(F38*G38,0)</f>
        <v>4866842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</row>
    <row r="39" spans="1:19" s="30" customFormat="1" ht="47.25" hidden="1" x14ac:dyDescent="0.2">
      <c r="A39" s="28"/>
      <c r="B39" s="7" t="s">
        <v>8</v>
      </c>
      <c r="C39" s="11">
        <v>4</v>
      </c>
      <c r="D39" s="33" t="s">
        <v>78</v>
      </c>
      <c r="E39" s="31"/>
      <c r="F39" s="31"/>
      <c r="G39" s="31"/>
      <c r="H39" s="31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</row>
    <row r="40" spans="1:19" s="30" customFormat="1" ht="47.25" hidden="1" x14ac:dyDescent="0.2">
      <c r="A40" s="28"/>
      <c r="B40" s="7" t="s">
        <v>8</v>
      </c>
      <c r="C40" s="13">
        <v>4.0999999999999996</v>
      </c>
      <c r="D40" s="12" t="s">
        <v>79</v>
      </c>
      <c r="E40" s="15"/>
      <c r="F40" s="16"/>
      <c r="G40" s="16"/>
      <c r="H40" s="17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 spans="1:19" s="27" customFormat="1" ht="47.25" hidden="1" x14ac:dyDescent="0.2">
      <c r="A41" s="18"/>
      <c r="B41" s="7" t="s">
        <v>8</v>
      </c>
      <c r="C41" s="20" t="s">
        <v>80</v>
      </c>
      <c r="D41" s="21" t="s">
        <v>81</v>
      </c>
      <c r="E41" s="20" t="s">
        <v>19</v>
      </c>
      <c r="F41" s="22">
        <v>4</v>
      </c>
      <c r="G41" s="23">
        <v>119384.484</v>
      </c>
      <c r="H41" s="24">
        <f>ROUND(F41*G41,0)</f>
        <v>477538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</row>
    <row r="42" spans="1:19" s="27" customFormat="1" ht="47.25" hidden="1" x14ac:dyDescent="0.2">
      <c r="A42" s="18"/>
      <c r="B42" s="7" t="s">
        <v>8</v>
      </c>
      <c r="C42" s="20" t="s">
        <v>82</v>
      </c>
      <c r="D42" s="21" t="s">
        <v>83</v>
      </c>
      <c r="E42" s="20" t="s">
        <v>16</v>
      </c>
      <c r="F42" s="22">
        <v>100</v>
      </c>
      <c r="G42" s="23">
        <v>13069.127999999999</v>
      </c>
      <c r="H42" s="24">
        <f>ROUND(F42*G42,0)</f>
        <v>1306913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</row>
    <row r="43" spans="1:19" s="27" customFormat="1" ht="47.25" hidden="1" x14ac:dyDescent="0.2">
      <c r="A43" s="18"/>
      <c r="B43" s="7" t="s">
        <v>8</v>
      </c>
      <c r="C43" s="20" t="s">
        <v>84</v>
      </c>
      <c r="D43" s="21" t="s">
        <v>85</v>
      </c>
      <c r="E43" s="20" t="s">
        <v>16</v>
      </c>
      <c r="F43" s="22">
        <v>400</v>
      </c>
      <c r="G43" s="23">
        <v>24192.011999999999</v>
      </c>
      <c r="H43" s="24">
        <f>ROUND(F43*G43,0)</f>
        <v>9676805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</row>
    <row r="44" spans="1:19" s="27" customFormat="1" ht="47.25" hidden="1" x14ac:dyDescent="0.2">
      <c r="A44" s="18"/>
      <c r="B44" s="7" t="s">
        <v>8</v>
      </c>
      <c r="C44" s="20" t="s">
        <v>86</v>
      </c>
      <c r="D44" s="21" t="s">
        <v>87</v>
      </c>
      <c r="E44" s="20" t="s">
        <v>16</v>
      </c>
      <c r="F44" s="22">
        <v>2</v>
      </c>
      <c r="G44" s="23">
        <v>20805.755999999998</v>
      </c>
      <c r="H44" s="24">
        <f>ROUND(F44*G44,0)</f>
        <v>41612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</row>
    <row r="45" spans="1:19" s="27" customFormat="1" ht="47.25" hidden="1" x14ac:dyDescent="0.2">
      <c r="A45" s="18"/>
      <c r="B45" s="7" t="s">
        <v>8</v>
      </c>
      <c r="C45" s="20" t="s">
        <v>88</v>
      </c>
      <c r="D45" s="21" t="s">
        <v>89</v>
      </c>
      <c r="E45" s="20" t="s">
        <v>16</v>
      </c>
      <c r="F45" s="22">
        <v>198</v>
      </c>
      <c r="G45" s="23">
        <v>34698.695999999996</v>
      </c>
      <c r="H45" s="24">
        <f>ROUND(F45*G45,0)</f>
        <v>6870342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6" spans="1:19" s="30" customFormat="1" ht="47.25" hidden="1" x14ac:dyDescent="0.2">
      <c r="A46" s="28"/>
      <c r="B46" s="7" t="s">
        <v>8</v>
      </c>
      <c r="C46" s="13">
        <v>4.2</v>
      </c>
      <c r="D46" s="12" t="s">
        <v>90</v>
      </c>
      <c r="E46" s="15"/>
      <c r="F46" s="16"/>
      <c r="G46" s="16"/>
      <c r="H46" s="17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spans="1:19" s="27" customFormat="1" ht="47.25" hidden="1" x14ac:dyDescent="0.2">
      <c r="A47" s="18"/>
      <c r="B47" s="7" t="s">
        <v>8</v>
      </c>
      <c r="C47" s="20" t="s">
        <v>91</v>
      </c>
      <c r="D47" s="21" t="s">
        <v>92</v>
      </c>
      <c r="E47" s="20" t="s">
        <v>19</v>
      </c>
      <c r="F47" s="22">
        <v>1</v>
      </c>
      <c r="G47" s="23">
        <v>10773516.816530241</v>
      </c>
      <c r="H47" s="24">
        <f>ROUND(F47*G47,0)</f>
        <v>10773517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</row>
    <row r="48" spans="1:19" s="30" customFormat="1" ht="47.25" hidden="1" x14ac:dyDescent="0.2">
      <c r="A48" s="28"/>
      <c r="B48" s="7" t="s">
        <v>8</v>
      </c>
      <c r="C48" s="13">
        <v>4.3</v>
      </c>
      <c r="D48" s="12" t="s">
        <v>93</v>
      </c>
      <c r="E48" s="15"/>
      <c r="F48" s="16"/>
      <c r="G48" s="16"/>
      <c r="H48" s="17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</row>
    <row r="49" spans="1:19" s="27" customFormat="1" ht="47.25" hidden="1" x14ac:dyDescent="0.2">
      <c r="A49" s="18"/>
      <c r="B49" s="7" t="s">
        <v>8</v>
      </c>
      <c r="C49" s="20" t="s">
        <v>94</v>
      </c>
      <c r="D49" s="21" t="s">
        <v>95</v>
      </c>
      <c r="E49" s="20" t="s">
        <v>19</v>
      </c>
      <c r="F49" s="22">
        <v>84</v>
      </c>
      <c r="G49" s="23">
        <v>281207.136</v>
      </c>
      <c r="H49" s="24">
        <f>ROUND(F49*G49,0)</f>
        <v>23621399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</row>
    <row r="50" spans="1:19" s="27" customFormat="1" ht="47.25" hidden="1" x14ac:dyDescent="0.2">
      <c r="A50" s="18"/>
      <c r="B50" s="7" t="s">
        <v>8</v>
      </c>
      <c r="C50" s="20" t="s">
        <v>96</v>
      </c>
      <c r="D50" s="21" t="s">
        <v>97</v>
      </c>
      <c r="E50" s="20" t="s">
        <v>19</v>
      </c>
      <c r="F50" s="22">
        <v>190</v>
      </c>
      <c r="G50" s="23">
        <v>88829.495999999999</v>
      </c>
      <c r="H50" s="24">
        <f>ROUND(F50*G50,0)</f>
        <v>16877604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</row>
    <row r="51" spans="1:19" s="27" customFormat="1" ht="47.25" hidden="1" x14ac:dyDescent="0.2">
      <c r="A51" s="18"/>
      <c r="B51" s="7" t="s">
        <v>8</v>
      </c>
      <c r="C51" s="20" t="s">
        <v>98</v>
      </c>
      <c r="D51" s="21" t="s">
        <v>99</v>
      </c>
      <c r="E51" s="20" t="s">
        <v>16</v>
      </c>
      <c r="F51" s="22">
        <v>4506.84</v>
      </c>
      <c r="G51" s="23">
        <v>6163.8959999999997</v>
      </c>
      <c r="H51" s="24">
        <f>ROUND(F51*G51,0)</f>
        <v>27779693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</row>
    <row r="52" spans="1:19" s="27" customFormat="1" ht="47.25" hidden="1" x14ac:dyDescent="0.2">
      <c r="A52" s="18"/>
      <c r="B52" s="7" t="s">
        <v>8</v>
      </c>
      <c r="C52" s="20" t="s">
        <v>100</v>
      </c>
      <c r="D52" s="21" t="s">
        <v>101</v>
      </c>
      <c r="E52" s="20" t="s">
        <v>19</v>
      </c>
      <c r="F52" s="22">
        <v>20</v>
      </c>
      <c r="G52" s="23">
        <v>193702.94399999999</v>
      </c>
      <c r="H52" s="24">
        <f>ROUND(F52*G52,0)</f>
        <v>3874059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</row>
    <row r="53" spans="1:19" s="27" customFormat="1" ht="47.25" hidden="1" x14ac:dyDescent="0.2">
      <c r="A53" s="18"/>
      <c r="B53" s="7" t="s">
        <v>8</v>
      </c>
      <c r="C53" s="20" t="s">
        <v>102</v>
      </c>
      <c r="D53" s="21" t="s">
        <v>103</v>
      </c>
      <c r="E53" s="20" t="s">
        <v>16</v>
      </c>
      <c r="F53" s="22">
        <v>100</v>
      </c>
      <c r="G53" s="23">
        <v>4505.8440000000001</v>
      </c>
      <c r="H53" s="24">
        <f>ROUND(F53*G53,0)</f>
        <v>450584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</row>
    <row r="54" spans="1:19" s="30" customFormat="1" ht="47.25" hidden="1" x14ac:dyDescent="0.2">
      <c r="A54" s="28"/>
      <c r="B54" s="7" t="s">
        <v>8</v>
      </c>
      <c r="C54" s="13">
        <v>4.4000000000000004</v>
      </c>
      <c r="D54" s="12" t="s">
        <v>104</v>
      </c>
      <c r="E54" s="15"/>
      <c r="F54" s="16"/>
      <c r="G54" s="16"/>
      <c r="H54" s="17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</row>
    <row r="55" spans="1:19" s="27" customFormat="1" ht="47.25" hidden="1" x14ac:dyDescent="0.2">
      <c r="A55" s="18"/>
      <c r="B55" s="7" t="s">
        <v>8</v>
      </c>
      <c r="C55" s="20" t="s">
        <v>105</v>
      </c>
      <c r="D55" s="21" t="s">
        <v>106</v>
      </c>
      <c r="E55" s="20" t="s">
        <v>19</v>
      </c>
      <c r="F55" s="22">
        <v>100</v>
      </c>
      <c r="G55" s="23">
        <v>511888.71599999996</v>
      </c>
      <c r="H55" s="24">
        <f>ROUND(F55*G55,0)</f>
        <v>51188872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</row>
    <row r="56" spans="1:19" s="27" customFormat="1" ht="47.25" hidden="1" x14ac:dyDescent="0.2">
      <c r="A56" s="18"/>
      <c r="B56" s="7" t="s">
        <v>8</v>
      </c>
      <c r="C56" s="20" t="s">
        <v>107</v>
      </c>
      <c r="D56" s="21" t="s">
        <v>108</v>
      </c>
      <c r="E56" s="20" t="s">
        <v>19</v>
      </c>
      <c r="F56" s="22">
        <v>50</v>
      </c>
      <c r="G56" s="23">
        <v>2637278.1719999998</v>
      </c>
      <c r="H56" s="24">
        <f>ROUND(F56*G56,0)</f>
        <v>131863909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</row>
    <row r="57" spans="1:19" s="30" customFormat="1" ht="47.25" hidden="1" x14ac:dyDescent="0.2">
      <c r="A57" s="28"/>
      <c r="B57" s="7" t="s">
        <v>8</v>
      </c>
      <c r="C57" s="13">
        <v>4.5</v>
      </c>
      <c r="D57" s="12" t="s">
        <v>109</v>
      </c>
      <c r="E57" s="15"/>
      <c r="F57" s="16"/>
      <c r="G57" s="16"/>
      <c r="H57" s="17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</row>
    <row r="58" spans="1:19" s="27" customFormat="1" ht="47.25" hidden="1" x14ac:dyDescent="0.2">
      <c r="A58" s="18"/>
      <c r="B58" s="7" t="s">
        <v>8</v>
      </c>
      <c r="C58" s="20" t="s">
        <v>110</v>
      </c>
      <c r="D58" s="21" t="s">
        <v>22</v>
      </c>
      <c r="E58" s="20" t="s">
        <v>23</v>
      </c>
      <c r="F58" s="22">
        <v>75.790000000000006</v>
      </c>
      <c r="G58" s="23">
        <v>27462.611999999997</v>
      </c>
      <c r="H58" s="24">
        <f>ROUND(F58*G58,0)</f>
        <v>2081391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</row>
    <row r="59" spans="1:19" s="27" customFormat="1" ht="47.25" hidden="1" x14ac:dyDescent="0.2">
      <c r="A59" s="18"/>
      <c r="B59" s="7" t="s">
        <v>8</v>
      </c>
      <c r="C59" s="20" t="s">
        <v>111</v>
      </c>
      <c r="D59" s="21" t="s">
        <v>112</v>
      </c>
      <c r="E59" s="20" t="s">
        <v>19</v>
      </c>
      <c r="F59" s="22">
        <v>1</v>
      </c>
      <c r="G59" s="23">
        <v>693424.08</v>
      </c>
      <c r="H59" s="24">
        <f>ROUND(F59*G59,0)</f>
        <v>693424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</row>
    <row r="60" spans="1:19" s="27" customFormat="1" ht="47.25" hidden="1" x14ac:dyDescent="0.2">
      <c r="A60" s="18"/>
      <c r="B60" s="7" t="s">
        <v>8</v>
      </c>
      <c r="C60" s="20" t="s">
        <v>113</v>
      </c>
      <c r="D60" s="21" t="s">
        <v>114</v>
      </c>
      <c r="E60" s="20" t="s">
        <v>19</v>
      </c>
      <c r="F60" s="22">
        <v>3</v>
      </c>
      <c r="G60" s="23">
        <v>559470.73199999996</v>
      </c>
      <c r="H60" s="24">
        <f>ROUND(F60*G60,0)</f>
        <v>1678412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</row>
    <row r="61" spans="1:19" s="27" customFormat="1" ht="47.25" hidden="1" x14ac:dyDescent="0.2">
      <c r="A61" s="18"/>
      <c r="B61" s="7" t="s">
        <v>8</v>
      </c>
      <c r="C61" s="20" t="s">
        <v>115</v>
      </c>
      <c r="D61" s="21" t="s">
        <v>116</v>
      </c>
      <c r="E61" s="20" t="s">
        <v>19</v>
      </c>
      <c r="F61" s="22">
        <v>3</v>
      </c>
      <c r="G61" s="23">
        <v>267625.14</v>
      </c>
      <c r="H61" s="24">
        <f>ROUND(F61*G61,0)</f>
        <v>802875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</row>
    <row r="62" spans="1:19" s="30" customFormat="1" ht="47.25" hidden="1" x14ac:dyDescent="0.2">
      <c r="A62" s="28"/>
      <c r="B62" s="7" t="s">
        <v>8</v>
      </c>
      <c r="C62" s="13">
        <v>4.5999999999999996</v>
      </c>
      <c r="D62" s="12" t="s">
        <v>117</v>
      </c>
      <c r="E62" s="15"/>
      <c r="F62" s="16"/>
      <c r="G62" s="16"/>
      <c r="H62" s="17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</row>
    <row r="63" spans="1:19" s="27" customFormat="1" ht="47.25" hidden="1" x14ac:dyDescent="0.2">
      <c r="A63" s="18"/>
      <c r="B63" s="7" t="s">
        <v>8</v>
      </c>
      <c r="C63" s="20" t="s">
        <v>118</v>
      </c>
      <c r="D63" s="21" t="s">
        <v>119</v>
      </c>
      <c r="E63" s="20" t="s">
        <v>16</v>
      </c>
      <c r="F63" s="22">
        <v>450</v>
      </c>
      <c r="G63" s="23">
        <v>58818.659999999996</v>
      </c>
      <c r="H63" s="24">
        <f>ROUND(F63*G63,0)</f>
        <v>26468397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</row>
    <row r="64" spans="1:19" s="27" customFormat="1" ht="47.25" hidden="1" x14ac:dyDescent="0.2">
      <c r="A64" s="18"/>
      <c r="B64" s="7" t="s">
        <v>8</v>
      </c>
      <c r="C64" s="20" t="s">
        <v>120</v>
      </c>
      <c r="D64" s="21" t="s">
        <v>121</v>
      </c>
      <c r="E64" s="20" t="s">
        <v>19</v>
      </c>
      <c r="F64" s="22">
        <v>12</v>
      </c>
      <c r="G64" s="23">
        <v>396845.12399999995</v>
      </c>
      <c r="H64" s="24">
        <f>ROUND(F64*G64,0)</f>
        <v>4762141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</row>
    <row r="65" spans="1:19" s="27" customFormat="1" ht="47.25" hidden="1" x14ac:dyDescent="0.2">
      <c r="A65" s="18"/>
      <c r="B65" s="7" t="s">
        <v>8</v>
      </c>
      <c r="C65" s="20" t="s">
        <v>122</v>
      </c>
      <c r="D65" s="21" t="s">
        <v>123</v>
      </c>
      <c r="E65" s="20" t="s">
        <v>19</v>
      </c>
      <c r="F65" s="22">
        <v>24</v>
      </c>
      <c r="G65" s="23">
        <v>103692.23999999999</v>
      </c>
      <c r="H65" s="24">
        <f>ROUND(F65*G65,0)</f>
        <v>2488614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</row>
    <row r="66" spans="1:19" s="27" customFormat="1" ht="47.25" hidden="1" x14ac:dyDescent="0.2">
      <c r="A66" s="18"/>
      <c r="B66" s="7" t="s">
        <v>8</v>
      </c>
      <c r="C66" s="20" t="s">
        <v>124</v>
      </c>
      <c r="D66" s="21" t="s">
        <v>125</v>
      </c>
      <c r="E66" s="20" t="s">
        <v>16</v>
      </c>
      <c r="F66" s="22">
        <v>710</v>
      </c>
      <c r="G66" s="23">
        <v>29047.667999999998</v>
      </c>
      <c r="H66" s="24">
        <f>ROUND(F66*G66,0)</f>
        <v>20623844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</row>
    <row r="67" spans="1:19" s="27" customFormat="1" ht="47.25" hidden="1" x14ac:dyDescent="0.2">
      <c r="A67" s="18"/>
      <c r="B67" s="7" t="s">
        <v>8</v>
      </c>
      <c r="C67" s="20" t="s">
        <v>126</v>
      </c>
      <c r="D67" s="21" t="s">
        <v>127</v>
      </c>
      <c r="E67" s="20" t="s">
        <v>19</v>
      </c>
      <c r="F67" s="22">
        <v>420</v>
      </c>
      <c r="G67" s="23">
        <v>13003.715999999999</v>
      </c>
      <c r="H67" s="24">
        <f>ROUND(F67*G67,0)</f>
        <v>5461561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</row>
    <row r="68" spans="1:19" s="27" customFormat="1" ht="47.25" hidden="1" x14ac:dyDescent="0.2">
      <c r="A68" s="18"/>
      <c r="B68" s="7" t="s">
        <v>8</v>
      </c>
      <c r="C68" s="20" t="s">
        <v>128</v>
      </c>
      <c r="D68" s="21" t="s">
        <v>129</v>
      </c>
      <c r="E68" s="20" t="s">
        <v>16</v>
      </c>
      <c r="F68" s="22">
        <v>100</v>
      </c>
      <c r="G68" s="23">
        <v>29850.624</v>
      </c>
      <c r="H68" s="24">
        <f>ROUND(F68*G68,0)</f>
        <v>2985062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</row>
    <row r="69" spans="1:19" s="27" customFormat="1" ht="47.25" hidden="1" x14ac:dyDescent="0.2">
      <c r="A69" s="18"/>
      <c r="B69" s="7" t="s">
        <v>8</v>
      </c>
      <c r="C69" s="20" t="s">
        <v>130</v>
      </c>
      <c r="D69" s="21" t="s">
        <v>131</v>
      </c>
      <c r="E69" s="20" t="s">
        <v>19</v>
      </c>
      <c r="F69" s="22">
        <v>3</v>
      </c>
      <c r="G69" s="23">
        <v>109558.46399999999</v>
      </c>
      <c r="H69" s="24">
        <f>ROUND(F69*G69,0)</f>
        <v>328675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</row>
    <row r="70" spans="1:19" s="27" customFormat="1" ht="47.25" hidden="1" x14ac:dyDescent="0.2">
      <c r="A70" s="18"/>
      <c r="B70" s="7" t="s">
        <v>8</v>
      </c>
      <c r="C70" s="20" t="s">
        <v>132</v>
      </c>
      <c r="D70" s="21" t="s">
        <v>133</v>
      </c>
      <c r="E70" s="20" t="s">
        <v>19</v>
      </c>
      <c r="F70" s="22">
        <v>18</v>
      </c>
      <c r="G70" s="23">
        <v>358164.67632000003</v>
      </c>
      <c r="H70" s="24">
        <f>ROUND(F70*G70,0)</f>
        <v>6446964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</row>
    <row r="71" spans="1:19" s="27" customFormat="1" ht="47.25" hidden="1" x14ac:dyDescent="0.2">
      <c r="A71" s="18"/>
      <c r="B71" s="7" t="s">
        <v>8</v>
      </c>
      <c r="C71" s="20" t="s">
        <v>134</v>
      </c>
      <c r="D71" s="21" t="s">
        <v>135</v>
      </c>
      <c r="E71" s="20" t="s">
        <v>19</v>
      </c>
      <c r="F71" s="22">
        <v>6</v>
      </c>
      <c r="G71" s="23">
        <v>286863.85200000001</v>
      </c>
      <c r="H71" s="24">
        <f>ROUND(F71*G71,0)</f>
        <v>1721183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</row>
    <row r="72" spans="1:19" s="27" customFormat="1" ht="47.25" hidden="1" x14ac:dyDescent="0.2">
      <c r="A72" s="18"/>
      <c r="B72" s="7" t="s">
        <v>8</v>
      </c>
      <c r="C72" s="20" t="s">
        <v>136</v>
      </c>
      <c r="D72" s="21" t="s">
        <v>137</v>
      </c>
      <c r="E72" s="20" t="s">
        <v>19</v>
      </c>
      <c r="F72" s="22">
        <v>5</v>
      </c>
      <c r="G72" s="23">
        <v>296613.08399999997</v>
      </c>
      <c r="H72" s="24">
        <f>ROUND(F72*G72,0)</f>
        <v>1483065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</row>
    <row r="73" spans="1:19" s="30" customFormat="1" ht="47.25" hidden="1" x14ac:dyDescent="0.2">
      <c r="A73" s="28"/>
      <c r="B73" s="7" t="s">
        <v>8</v>
      </c>
      <c r="C73" s="11">
        <v>5</v>
      </c>
      <c r="D73" s="12" t="s">
        <v>138</v>
      </c>
      <c r="E73" s="31"/>
      <c r="F73" s="31"/>
      <c r="G73" s="31"/>
      <c r="H73" s="31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</row>
    <row r="74" spans="1:19" s="27" customFormat="1" ht="47.25" hidden="1" x14ac:dyDescent="0.2">
      <c r="A74" s="18"/>
      <c r="B74" s="7" t="s">
        <v>8</v>
      </c>
      <c r="C74" s="32">
        <v>5.0999999999999996</v>
      </c>
      <c r="D74" s="21" t="s">
        <v>138</v>
      </c>
      <c r="E74" s="20" t="s">
        <v>139</v>
      </c>
      <c r="F74" s="34">
        <v>0.02</v>
      </c>
      <c r="G74" s="23">
        <v>1295648655.4679999</v>
      </c>
      <c r="H74" s="24">
        <f>ROUND(F74*G74,0)</f>
        <v>25912973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</row>
    <row r="75" spans="1:19" s="30" customFormat="1" ht="78.75" hidden="1" x14ac:dyDescent="0.2">
      <c r="A75" s="28"/>
      <c r="B75" s="7" t="s">
        <v>140</v>
      </c>
      <c r="C75" s="11">
        <v>1</v>
      </c>
      <c r="D75" s="12" t="s">
        <v>141</v>
      </c>
      <c r="E75" s="31"/>
      <c r="F75" s="31"/>
      <c r="G75" s="31"/>
      <c r="H75" s="31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</row>
    <row r="76" spans="1:19" s="30" customFormat="1" ht="78.75" hidden="1" x14ac:dyDescent="0.2">
      <c r="A76" s="28"/>
      <c r="B76" s="7" t="s">
        <v>140</v>
      </c>
      <c r="C76" s="13">
        <v>1.1000000000000001</v>
      </c>
      <c r="D76" s="12" t="s">
        <v>10</v>
      </c>
      <c r="E76" s="15"/>
      <c r="F76" s="16"/>
      <c r="G76" s="16"/>
      <c r="H76" s="17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</row>
    <row r="77" spans="1:19" s="27" customFormat="1" ht="78.75" hidden="1" x14ac:dyDescent="0.2">
      <c r="A77" s="18"/>
      <c r="B77" s="7" t="s">
        <v>140</v>
      </c>
      <c r="C77" s="20" t="s">
        <v>11</v>
      </c>
      <c r="D77" s="21" t="s">
        <v>12</v>
      </c>
      <c r="E77" s="20" t="s">
        <v>13</v>
      </c>
      <c r="F77" s="22">
        <v>1756.26</v>
      </c>
      <c r="G77" s="23">
        <v>5503.1399999999994</v>
      </c>
      <c r="H77" s="24">
        <f>ROUND(F77*G77,0)</f>
        <v>9664945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</row>
    <row r="78" spans="1:19" s="27" customFormat="1" ht="78.75" hidden="1" x14ac:dyDescent="0.2">
      <c r="A78" s="18"/>
      <c r="B78" s="7" t="s">
        <v>140</v>
      </c>
      <c r="C78" s="20" t="s">
        <v>14</v>
      </c>
      <c r="D78" s="21" t="s">
        <v>15</v>
      </c>
      <c r="E78" s="20" t="s">
        <v>16</v>
      </c>
      <c r="F78" s="22">
        <v>178.3</v>
      </c>
      <c r="G78" s="23">
        <v>11403.492</v>
      </c>
      <c r="H78" s="24">
        <f>ROUND(F78*G78,0)</f>
        <v>2033243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</row>
    <row r="79" spans="1:19" s="27" customFormat="1" ht="78.75" hidden="1" x14ac:dyDescent="0.2">
      <c r="A79" s="18"/>
      <c r="B79" s="7" t="s">
        <v>140</v>
      </c>
      <c r="C79" s="20" t="s">
        <v>17</v>
      </c>
      <c r="D79" s="21" t="s">
        <v>18</v>
      </c>
      <c r="E79" s="20" t="s">
        <v>19</v>
      </c>
      <c r="F79" s="22">
        <v>1</v>
      </c>
      <c r="G79" s="23">
        <v>3204661.86</v>
      </c>
      <c r="H79" s="24">
        <f>ROUND(F79*G79,0)</f>
        <v>3204662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</row>
    <row r="80" spans="1:19" s="27" customFormat="1" ht="78.75" hidden="1" x14ac:dyDescent="0.2">
      <c r="A80" s="18"/>
      <c r="B80" s="7" t="s">
        <v>140</v>
      </c>
      <c r="C80" s="20" t="s">
        <v>142</v>
      </c>
      <c r="D80" s="21" t="s">
        <v>143</v>
      </c>
      <c r="E80" s="20" t="s">
        <v>13</v>
      </c>
      <c r="F80" s="22">
        <v>1147</v>
      </c>
      <c r="G80" s="23">
        <v>19200.791999999998</v>
      </c>
      <c r="H80" s="24">
        <f>ROUND(F80*G80,0)</f>
        <v>22023308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</row>
    <row r="81" spans="1:19" s="27" customFormat="1" ht="78.75" hidden="1" x14ac:dyDescent="0.2">
      <c r="A81" s="18"/>
      <c r="B81" s="7" t="s">
        <v>140</v>
      </c>
      <c r="C81" s="20" t="s">
        <v>144</v>
      </c>
      <c r="D81" s="21" t="s">
        <v>145</v>
      </c>
      <c r="E81" s="20" t="s">
        <v>13</v>
      </c>
      <c r="F81" s="22">
        <v>459</v>
      </c>
      <c r="G81" s="23">
        <v>10242.191999999999</v>
      </c>
      <c r="H81" s="24">
        <f>ROUND(F81*G81,0)</f>
        <v>4701166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</row>
    <row r="82" spans="1:19" s="27" customFormat="1" ht="78.75" hidden="1" x14ac:dyDescent="0.2">
      <c r="A82" s="18"/>
      <c r="B82" s="7" t="s">
        <v>140</v>
      </c>
      <c r="C82" s="20" t="s">
        <v>146</v>
      </c>
      <c r="D82" s="21" t="s">
        <v>147</v>
      </c>
      <c r="E82" s="20" t="s">
        <v>19</v>
      </c>
      <c r="F82" s="22">
        <v>16</v>
      </c>
      <c r="G82" s="23">
        <v>186090.50399999999</v>
      </c>
      <c r="H82" s="24">
        <f>ROUND(F82*G82,0)</f>
        <v>2977448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</row>
    <row r="83" spans="1:19" s="27" customFormat="1" ht="78.75" hidden="1" x14ac:dyDescent="0.2">
      <c r="A83" s="18"/>
      <c r="B83" s="7" t="s">
        <v>140</v>
      </c>
      <c r="C83" s="20" t="s">
        <v>148</v>
      </c>
      <c r="D83" s="21" t="s">
        <v>149</v>
      </c>
      <c r="E83" s="20" t="s">
        <v>19</v>
      </c>
      <c r="F83" s="22">
        <v>2</v>
      </c>
      <c r="G83" s="23">
        <v>15370.871999999999</v>
      </c>
      <c r="H83" s="24">
        <f>ROUND(F83*G83,0)</f>
        <v>30742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</row>
    <row r="84" spans="1:19" s="27" customFormat="1" ht="78.75" hidden="1" x14ac:dyDescent="0.2">
      <c r="A84" s="18"/>
      <c r="B84" s="7" t="s">
        <v>140</v>
      </c>
      <c r="C84" s="20" t="s">
        <v>150</v>
      </c>
      <c r="D84" s="21" t="s">
        <v>151</v>
      </c>
      <c r="E84" s="20" t="s">
        <v>16</v>
      </c>
      <c r="F84" s="22">
        <v>54</v>
      </c>
      <c r="G84" s="23">
        <v>60925.115999999995</v>
      </c>
      <c r="H84" s="24">
        <f>ROUND(F84*G84,0)</f>
        <v>3289956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</row>
    <row r="85" spans="1:19" s="27" customFormat="1" ht="78.75" hidden="1" x14ac:dyDescent="0.2">
      <c r="A85" s="18"/>
      <c r="B85" s="7" t="s">
        <v>140</v>
      </c>
      <c r="C85" s="20" t="s">
        <v>152</v>
      </c>
      <c r="D85" s="21" t="s">
        <v>153</v>
      </c>
      <c r="E85" s="20" t="s">
        <v>23</v>
      </c>
      <c r="F85" s="22">
        <v>173.17</v>
      </c>
      <c r="G85" s="23">
        <v>5493.66</v>
      </c>
      <c r="H85" s="24">
        <f>ROUND(F85*G85,0)</f>
        <v>951337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</row>
    <row r="86" spans="1:19" s="27" customFormat="1" ht="78.75" hidden="1" x14ac:dyDescent="0.2">
      <c r="A86" s="18"/>
      <c r="B86" s="7" t="s">
        <v>140</v>
      </c>
      <c r="C86" s="20" t="s">
        <v>154</v>
      </c>
      <c r="D86" s="21" t="s">
        <v>37</v>
      </c>
      <c r="E86" s="20" t="s">
        <v>38</v>
      </c>
      <c r="F86" s="22">
        <v>13351.41</v>
      </c>
      <c r="G86" s="23">
        <v>1598.328</v>
      </c>
      <c r="H86" s="24">
        <f>ROUND(F86*G86,0)</f>
        <v>21339932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</row>
    <row r="87" spans="1:19" s="30" customFormat="1" ht="78.75" hidden="1" x14ac:dyDescent="0.2">
      <c r="A87" s="28"/>
      <c r="B87" s="7" t="s">
        <v>140</v>
      </c>
      <c r="C87" s="13">
        <v>1.2</v>
      </c>
      <c r="D87" s="12" t="s">
        <v>20</v>
      </c>
      <c r="E87" s="15"/>
      <c r="F87" s="16"/>
      <c r="G87" s="16"/>
      <c r="H87" s="17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</row>
    <row r="88" spans="1:19" s="27" customFormat="1" ht="78.75" hidden="1" x14ac:dyDescent="0.2">
      <c r="A88" s="18"/>
      <c r="B88" s="7" t="s">
        <v>140</v>
      </c>
      <c r="C88" s="20" t="s">
        <v>21</v>
      </c>
      <c r="D88" s="21" t="s">
        <v>22</v>
      </c>
      <c r="E88" s="20" t="s">
        <v>23</v>
      </c>
      <c r="F88" s="22">
        <v>401.06</v>
      </c>
      <c r="G88" s="23">
        <v>27462.611999999997</v>
      </c>
      <c r="H88" s="24">
        <f>ROUND(F88*G88,0)</f>
        <v>11014155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</row>
    <row r="89" spans="1:19" s="27" customFormat="1" ht="78.75" hidden="1" x14ac:dyDescent="0.2">
      <c r="A89" s="18"/>
      <c r="B89" s="7" t="s">
        <v>140</v>
      </c>
      <c r="C89" s="20" t="s">
        <v>24</v>
      </c>
      <c r="D89" s="21" t="s">
        <v>155</v>
      </c>
      <c r="E89" s="20" t="s">
        <v>23</v>
      </c>
      <c r="F89" s="22">
        <v>61.65</v>
      </c>
      <c r="G89" s="23">
        <v>99984.611999999994</v>
      </c>
      <c r="H89" s="24">
        <f>ROUND(F89*G89,0)</f>
        <v>6164051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</row>
    <row r="90" spans="1:19" s="27" customFormat="1" ht="78.75" hidden="1" x14ac:dyDescent="0.2">
      <c r="A90" s="18"/>
      <c r="B90" s="7" t="s">
        <v>140</v>
      </c>
      <c r="C90" s="20" t="s">
        <v>26</v>
      </c>
      <c r="D90" s="21" t="s">
        <v>27</v>
      </c>
      <c r="E90" s="20" t="s">
        <v>23</v>
      </c>
      <c r="F90" s="22">
        <v>194.08</v>
      </c>
      <c r="G90" s="23">
        <v>69488.399999999994</v>
      </c>
      <c r="H90" s="24">
        <f>ROUND(F90*G90,0)</f>
        <v>13486309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</row>
    <row r="91" spans="1:19" s="27" customFormat="1" ht="78.75" hidden="1" x14ac:dyDescent="0.2">
      <c r="A91" s="18"/>
      <c r="B91" s="7" t="s">
        <v>140</v>
      </c>
      <c r="C91" s="20" t="s">
        <v>28</v>
      </c>
      <c r="D91" s="21" t="s">
        <v>25</v>
      </c>
      <c r="E91" s="20" t="s">
        <v>23</v>
      </c>
      <c r="F91" s="22">
        <v>91.8</v>
      </c>
      <c r="G91" s="23">
        <v>114330.696</v>
      </c>
      <c r="H91" s="24">
        <f>ROUND(F91*G91,0)</f>
        <v>10495558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</row>
    <row r="92" spans="1:19" s="27" customFormat="1" ht="78.75" hidden="1" x14ac:dyDescent="0.2">
      <c r="A92" s="18"/>
      <c r="B92" s="7" t="s">
        <v>140</v>
      </c>
      <c r="C92" s="20" t="s">
        <v>30</v>
      </c>
      <c r="D92" s="21" t="s">
        <v>31</v>
      </c>
      <c r="E92" s="20" t="s">
        <v>13</v>
      </c>
      <c r="F92" s="22">
        <v>516.20000000000005</v>
      </c>
      <c r="G92" s="23">
        <v>10759.8</v>
      </c>
      <c r="H92" s="24">
        <f>ROUND(F92*G92,0)</f>
        <v>5554209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</row>
    <row r="93" spans="1:19" s="27" customFormat="1" ht="78.75" hidden="1" x14ac:dyDescent="0.2">
      <c r="A93" s="18"/>
      <c r="B93" s="7" t="s">
        <v>140</v>
      </c>
      <c r="C93" s="20" t="s">
        <v>32</v>
      </c>
      <c r="D93" s="21" t="s">
        <v>156</v>
      </c>
      <c r="E93" s="20" t="s">
        <v>13</v>
      </c>
      <c r="F93" s="22">
        <v>516.20000000000005</v>
      </c>
      <c r="G93" s="23">
        <v>38966.591999999997</v>
      </c>
      <c r="H93" s="24">
        <f>ROUND(F93*G93,0)</f>
        <v>20114555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</row>
    <row r="94" spans="1:19" s="27" customFormat="1" ht="78.75" hidden="1" x14ac:dyDescent="0.2">
      <c r="A94" s="18"/>
      <c r="B94" s="7" t="s">
        <v>140</v>
      </c>
      <c r="C94" s="20" t="s">
        <v>34</v>
      </c>
      <c r="D94" s="21" t="s">
        <v>157</v>
      </c>
      <c r="E94" s="20" t="s">
        <v>13</v>
      </c>
      <c r="F94" s="22">
        <v>516.20000000000005</v>
      </c>
      <c r="G94" s="23">
        <v>10586.315999999999</v>
      </c>
      <c r="H94" s="24">
        <f>ROUND(F94*G94,0)</f>
        <v>5464656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</row>
    <row r="95" spans="1:19" s="27" customFormat="1" ht="78.75" hidden="1" x14ac:dyDescent="0.2">
      <c r="A95" s="18"/>
      <c r="B95" s="7" t="s">
        <v>140</v>
      </c>
      <c r="C95" s="20" t="s">
        <v>36</v>
      </c>
      <c r="D95" s="21" t="s">
        <v>158</v>
      </c>
      <c r="E95" s="20" t="s">
        <v>13</v>
      </c>
      <c r="F95" s="22">
        <v>459</v>
      </c>
      <c r="G95" s="23">
        <v>5481.3359999999993</v>
      </c>
      <c r="H95" s="24">
        <f>ROUND(F95*G95,0)</f>
        <v>2515933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</row>
    <row r="96" spans="1:19" s="27" customFormat="1" ht="78.75" hidden="1" x14ac:dyDescent="0.2">
      <c r="A96" s="18"/>
      <c r="B96" s="7" t="s">
        <v>140</v>
      </c>
      <c r="C96" s="20" t="s">
        <v>39</v>
      </c>
      <c r="D96" s="21" t="s">
        <v>35</v>
      </c>
      <c r="E96" s="20" t="s">
        <v>13</v>
      </c>
      <c r="F96" s="22">
        <v>712.55</v>
      </c>
      <c r="G96" s="23">
        <v>1437.1679999999999</v>
      </c>
      <c r="H96" s="24">
        <f>ROUND(F96*G96,0)</f>
        <v>1024054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</row>
    <row r="97" spans="1:19" s="27" customFormat="1" ht="78.75" hidden="1" x14ac:dyDescent="0.2">
      <c r="A97" s="18"/>
      <c r="B97" s="7" t="s">
        <v>140</v>
      </c>
      <c r="C97" s="20" t="s">
        <v>41</v>
      </c>
      <c r="D97" s="21" t="s">
        <v>159</v>
      </c>
      <c r="E97" s="20" t="s">
        <v>23</v>
      </c>
      <c r="F97" s="22">
        <v>814.63</v>
      </c>
      <c r="G97" s="23">
        <v>24932.399999999998</v>
      </c>
      <c r="H97" s="24">
        <f>ROUND(F97*G97,0)</f>
        <v>20310681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</row>
    <row r="98" spans="1:19" s="27" customFormat="1" ht="78.75" hidden="1" x14ac:dyDescent="0.2">
      <c r="A98" s="18"/>
      <c r="B98" s="7" t="s">
        <v>140</v>
      </c>
      <c r="C98" s="20" t="s">
        <v>160</v>
      </c>
      <c r="D98" s="21" t="s">
        <v>161</v>
      </c>
      <c r="E98" s="20" t="s">
        <v>23</v>
      </c>
      <c r="F98" s="22">
        <v>860.11</v>
      </c>
      <c r="G98" s="23">
        <v>10328.459999999999</v>
      </c>
      <c r="H98" s="24">
        <f>ROUND(F98*G98,0)</f>
        <v>8883612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</row>
    <row r="99" spans="1:19" s="27" customFormat="1" ht="78.75" hidden="1" x14ac:dyDescent="0.2">
      <c r="A99" s="18"/>
      <c r="B99" s="7" t="s">
        <v>140</v>
      </c>
      <c r="C99" s="20" t="s">
        <v>162</v>
      </c>
      <c r="D99" s="21" t="s">
        <v>153</v>
      </c>
      <c r="E99" s="20" t="s">
        <v>23</v>
      </c>
      <c r="F99" s="22">
        <v>435.5</v>
      </c>
      <c r="G99" s="23">
        <v>5493.66</v>
      </c>
      <c r="H99" s="24">
        <f>ROUND(F99*G99,0)</f>
        <v>2392489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</row>
    <row r="100" spans="1:19" s="27" customFormat="1" ht="78.75" hidden="1" x14ac:dyDescent="0.2">
      <c r="A100" s="18"/>
      <c r="B100" s="7" t="s">
        <v>140</v>
      </c>
      <c r="C100" s="20" t="s">
        <v>163</v>
      </c>
      <c r="D100" s="21" t="s">
        <v>37</v>
      </c>
      <c r="E100" s="20" t="s">
        <v>38</v>
      </c>
      <c r="F100" s="22">
        <v>14023.1</v>
      </c>
      <c r="G100" s="23">
        <v>1598.328</v>
      </c>
      <c r="H100" s="24">
        <f>ROUND(F100*G100,0)</f>
        <v>22413513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</row>
    <row r="101" spans="1:19" s="30" customFormat="1" ht="78.75" hidden="1" x14ac:dyDescent="0.2">
      <c r="A101" s="28"/>
      <c r="B101" s="7" t="s">
        <v>140</v>
      </c>
      <c r="C101" s="13">
        <v>1.3</v>
      </c>
      <c r="D101" s="12" t="s">
        <v>164</v>
      </c>
      <c r="E101" s="15"/>
      <c r="F101" s="16"/>
      <c r="G101" s="16"/>
      <c r="H101" s="17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</row>
    <row r="102" spans="1:19" s="27" customFormat="1" ht="78.75" hidden="1" x14ac:dyDescent="0.2">
      <c r="A102" s="18"/>
      <c r="B102" s="7" t="s">
        <v>140</v>
      </c>
      <c r="C102" s="20" t="s">
        <v>44</v>
      </c>
      <c r="D102" s="21" t="s">
        <v>165</v>
      </c>
      <c r="E102" s="20" t="s">
        <v>13</v>
      </c>
      <c r="F102" s="22">
        <v>459</v>
      </c>
      <c r="G102" s="23">
        <v>144570</v>
      </c>
      <c r="H102" s="24">
        <f>ROUND(F102*G102,0)</f>
        <v>66357630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</row>
    <row r="103" spans="1:19" s="27" customFormat="1" ht="78.75" hidden="1" x14ac:dyDescent="0.2">
      <c r="A103" s="18"/>
      <c r="B103" s="7" t="s">
        <v>140</v>
      </c>
      <c r="C103" s="20" t="s">
        <v>46</v>
      </c>
      <c r="D103" s="21" t="s">
        <v>166</v>
      </c>
      <c r="E103" s="20" t="s">
        <v>13</v>
      </c>
      <c r="F103" s="22">
        <v>459</v>
      </c>
      <c r="G103" s="23">
        <v>3422.2799999999997</v>
      </c>
      <c r="H103" s="24">
        <f>ROUND(F103*G103,0)</f>
        <v>1570827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</row>
    <row r="104" spans="1:19" s="27" customFormat="1" ht="78.75" hidden="1" x14ac:dyDescent="0.2">
      <c r="A104" s="18"/>
      <c r="B104" s="7" t="s">
        <v>140</v>
      </c>
      <c r="C104" s="20" t="s">
        <v>49</v>
      </c>
      <c r="D104" s="21" t="s">
        <v>167</v>
      </c>
      <c r="E104" s="20" t="s">
        <v>168</v>
      </c>
      <c r="F104" s="22">
        <v>1</v>
      </c>
      <c r="G104" s="23">
        <v>5404713.8999999994</v>
      </c>
      <c r="H104" s="24">
        <f>ROUND(F104*G104,0)</f>
        <v>5404714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</row>
    <row r="105" spans="1:19" s="27" customFormat="1" ht="78.75" hidden="1" x14ac:dyDescent="0.2">
      <c r="A105" s="18"/>
      <c r="B105" s="7" t="s">
        <v>140</v>
      </c>
      <c r="C105" s="20" t="s">
        <v>51</v>
      </c>
      <c r="D105" s="21" t="s">
        <v>66</v>
      </c>
      <c r="E105" s="20" t="s">
        <v>23</v>
      </c>
      <c r="F105" s="22">
        <v>5.94</v>
      </c>
      <c r="G105" s="23">
        <v>1101076.4039999999</v>
      </c>
      <c r="H105" s="24">
        <f>ROUND(F105*G105,0)</f>
        <v>6540394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</row>
    <row r="106" spans="1:19" s="27" customFormat="1" ht="78.75" hidden="1" x14ac:dyDescent="0.2">
      <c r="A106" s="18"/>
      <c r="B106" s="7" t="s">
        <v>140</v>
      </c>
      <c r="C106" s="20" t="s">
        <v>53</v>
      </c>
      <c r="D106" s="21" t="s">
        <v>68</v>
      </c>
      <c r="E106" s="20" t="s">
        <v>19</v>
      </c>
      <c r="F106" s="22">
        <v>90</v>
      </c>
      <c r="G106" s="23">
        <v>53765.82</v>
      </c>
      <c r="H106" s="24">
        <f>ROUND(F106*G106,0)</f>
        <v>4838924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</row>
    <row r="107" spans="1:19" s="27" customFormat="1" ht="78.75" hidden="1" x14ac:dyDescent="0.2">
      <c r="A107" s="18"/>
      <c r="B107" s="7" t="s">
        <v>140</v>
      </c>
      <c r="C107" s="20" t="s">
        <v>55</v>
      </c>
      <c r="D107" s="21" t="s">
        <v>169</v>
      </c>
      <c r="E107" s="20" t="s">
        <v>13</v>
      </c>
      <c r="F107" s="22">
        <v>1319</v>
      </c>
      <c r="G107" s="23">
        <v>27492</v>
      </c>
      <c r="H107" s="24">
        <f>ROUND(F107*G107,0)</f>
        <v>36261948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</row>
    <row r="108" spans="1:19" s="27" customFormat="1" ht="78.75" hidden="1" x14ac:dyDescent="0.2">
      <c r="A108" s="18"/>
      <c r="B108" s="7" t="s">
        <v>140</v>
      </c>
      <c r="C108" s="20" t="s">
        <v>57</v>
      </c>
      <c r="D108" s="21" t="s">
        <v>170</v>
      </c>
      <c r="E108" s="20" t="s">
        <v>48</v>
      </c>
      <c r="F108" s="22">
        <v>2625.92</v>
      </c>
      <c r="G108" s="23">
        <v>18429.12</v>
      </c>
      <c r="H108" s="24">
        <f>ROUND(F108*G108,0)</f>
        <v>48393395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</row>
    <row r="109" spans="1:19" s="27" customFormat="1" ht="78.75" hidden="1" x14ac:dyDescent="0.2">
      <c r="A109" s="18"/>
      <c r="B109" s="7" t="s">
        <v>140</v>
      </c>
      <c r="C109" s="20" t="s">
        <v>59</v>
      </c>
      <c r="D109" s="21" t="s">
        <v>171</v>
      </c>
      <c r="E109" s="20" t="s">
        <v>19</v>
      </c>
      <c r="F109" s="22">
        <v>2</v>
      </c>
      <c r="G109" s="23">
        <v>1034812.152</v>
      </c>
      <c r="H109" s="24">
        <f>ROUND(F109*G109,0)</f>
        <v>2069624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</row>
    <row r="110" spans="1:19" s="30" customFormat="1" ht="78.75" hidden="1" x14ac:dyDescent="0.2">
      <c r="A110" s="28"/>
      <c r="B110" s="7" t="s">
        <v>140</v>
      </c>
      <c r="C110" s="11">
        <v>2</v>
      </c>
      <c r="D110" s="12" t="s">
        <v>172</v>
      </c>
      <c r="E110" s="31"/>
      <c r="F110" s="31"/>
      <c r="G110" s="31"/>
      <c r="H110" s="31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 spans="1:19" s="27" customFormat="1" ht="78.75" hidden="1" x14ac:dyDescent="0.2">
      <c r="A111" s="18"/>
      <c r="B111" s="7" t="s">
        <v>140</v>
      </c>
      <c r="C111" s="32">
        <v>2.1</v>
      </c>
      <c r="D111" s="21" t="s">
        <v>173</v>
      </c>
      <c r="E111" s="20" t="s">
        <v>16</v>
      </c>
      <c r="F111" s="22">
        <v>105.26</v>
      </c>
      <c r="G111" s="23">
        <v>7137.4919999999993</v>
      </c>
      <c r="H111" s="24">
        <f>ROUND(F111*G111,0)</f>
        <v>751292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</row>
    <row r="112" spans="1:19" s="27" customFormat="1" ht="78.75" hidden="1" x14ac:dyDescent="0.2">
      <c r="A112" s="18"/>
      <c r="B112" s="7" t="s">
        <v>140</v>
      </c>
      <c r="C112" s="32">
        <v>2.2000000000000002</v>
      </c>
      <c r="D112" s="21" t="s">
        <v>174</v>
      </c>
      <c r="E112" s="20" t="s">
        <v>16</v>
      </c>
      <c r="F112" s="22">
        <v>173.26</v>
      </c>
      <c r="G112" s="23">
        <v>53170.475999999995</v>
      </c>
      <c r="H112" s="24">
        <f>ROUND(F112*G112,0)</f>
        <v>9212317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</row>
    <row r="113" spans="1:19" s="27" customFormat="1" ht="78.75" hidden="1" x14ac:dyDescent="0.2">
      <c r="A113" s="18"/>
      <c r="B113" s="7" t="s">
        <v>140</v>
      </c>
      <c r="C113" s="32">
        <v>2.2999999999999998</v>
      </c>
      <c r="D113" s="21" t="s">
        <v>175</v>
      </c>
      <c r="E113" s="20" t="s">
        <v>13</v>
      </c>
      <c r="F113" s="22">
        <v>206.8</v>
      </c>
      <c r="G113" s="23">
        <v>50685.767999999996</v>
      </c>
      <c r="H113" s="24">
        <f>ROUND(F113*G113,0)</f>
        <v>10481817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</row>
    <row r="114" spans="1:19" s="27" customFormat="1" ht="78.75" hidden="1" x14ac:dyDescent="0.2">
      <c r="A114" s="18"/>
      <c r="B114" s="7" t="s">
        <v>140</v>
      </c>
      <c r="C114" s="32">
        <v>2.4</v>
      </c>
      <c r="D114" s="21" t="s">
        <v>176</v>
      </c>
      <c r="E114" s="20" t="s">
        <v>16</v>
      </c>
      <c r="F114" s="22">
        <v>103.4</v>
      </c>
      <c r="G114" s="23">
        <v>124573.836</v>
      </c>
      <c r="H114" s="24">
        <f>ROUND(F114*G114,0)</f>
        <v>12880935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</row>
    <row r="115" spans="1:19" s="30" customFormat="1" ht="78.75" hidden="1" x14ac:dyDescent="0.2">
      <c r="A115" s="28"/>
      <c r="B115" s="7" t="s">
        <v>140</v>
      </c>
      <c r="C115" s="11">
        <v>3</v>
      </c>
      <c r="D115" s="12" t="s">
        <v>177</v>
      </c>
      <c r="E115" s="31"/>
      <c r="F115" s="31"/>
      <c r="G115" s="31"/>
      <c r="H115" s="31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</row>
    <row r="116" spans="1:19" s="27" customFormat="1" ht="78.75" hidden="1" x14ac:dyDescent="0.2">
      <c r="A116" s="18"/>
      <c r="B116" s="7" t="s">
        <v>140</v>
      </c>
      <c r="C116" s="32">
        <v>3.1</v>
      </c>
      <c r="D116" s="21" t="s">
        <v>178</v>
      </c>
      <c r="E116" s="20" t="s">
        <v>16</v>
      </c>
      <c r="F116" s="22">
        <v>121.5</v>
      </c>
      <c r="G116" s="23">
        <v>6426.4919999999993</v>
      </c>
      <c r="H116" s="24">
        <f>ROUND(F116*G116,0)</f>
        <v>780819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</row>
    <row r="117" spans="1:19" s="27" customFormat="1" ht="78.75" hidden="1" x14ac:dyDescent="0.2">
      <c r="A117" s="18"/>
      <c r="B117" s="7" t="s">
        <v>140</v>
      </c>
      <c r="C117" s="32">
        <v>3.2</v>
      </c>
      <c r="D117" s="21" t="s">
        <v>179</v>
      </c>
      <c r="E117" s="20" t="s">
        <v>13</v>
      </c>
      <c r="F117" s="22">
        <v>73.930000000000007</v>
      </c>
      <c r="G117" s="23">
        <v>5709.8040000000001</v>
      </c>
      <c r="H117" s="24">
        <f>ROUND(F117*G117,0)</f>
        <v>422126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</row>
    <row r="118" spans="1:19" s="27" customFormat="1" ht="78.75" hidden="1" x14ac:dyDescent="0.2">
      <c r="A118" s="18"/>
      <c r="B118" s="7" t="s">
        <v>140</v>
      </c>
      <c r="C118" s="32">
        <v>3.3</v>
      </c>
      <c r="D118" s="21" t="s">
        <v>180</v>
      </c>
      <c r="E118" s="20" t="s">
        <v>13</v>
      </c>
      <c r="F118" s="22">
        <v>271.47000000000003</v>
      </c>
      <c r="G118" s="23">
        <v>6652.116</v>
      </c>
      <c r="H118" s="24">
        <f>ROUND(F118*G118,0)</f>
        <v>1805850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</row>
    <row r="119" spans="1:19" s="27" customFormat="1" ht="78.75" hidden="1" x14ac:dyDescent="0.2">
      <c r="A119" s="18"/>
      <c r="B119" s="7" t="s">
        <v>140</v>
      </c>
      <c r="C119" s="32">
        <v>3.4</v>
      </c>
      <c r="D119" s="21" t="s">
        <v>153</v>
      </c>
      <c r="E119" s="20" t="s">
        <v>23</v>
      </c>
      <c r="F119" s="22">
        <v>52.36</v>
      </c>
      <c r="G119" s="23">
        <v>5493.66</v>
      </c>
      <c r="H119" s="24">
        <f>ROUND(F119*G119,0)</f>
        <v>287648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</row>
    <row r="120" spans="1:19" s="27" customFormat="1" ht="78.75" hidden="1" x14ac:dyDescent="0.2">
      <c r="A120" s="18"/>
      <c r="B120" s="7" t="s">
        <v>140</v>
      </c>
      <c r="C120" s="32">
        <v>3.5</v>
      </c>
      <c r="D120" s="21" t="s">
        <v>37</v>
      </c>
      <c r="E120" s="20" t="s">
        <v>38</v>
      </c>
      <c r="F120" s="22">
        <v>1685.87</v>
      </c>
      <c r="G120" s="23">
        <v>1598.328</v>
      </c>
      <c r="H120" s="24">
        <f>ROUND(F120*G120,0)</f>
        <v>2694573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</row>
    <row r="121" spans="1:19" s="27" customFormat="1" ht="78.75" hidden="1" x14ac:dyDescent="0.2">
      <c r="A121" s="18"/>
      <c r="B121" s="7" t="s">
        <v>140</v>
      </c>
      <c r="C121" s="32">
        <v>3.6</v>
      </c>
      <c r="D121" s="21" t="s">
        <v>181</v>
      </c>
      <c r="E121" s="20" t="s">
        <v>16</v>
      </c>
      <c r="F121" s="22">
        <v>679.05</v>
      </c>
      <c r="G121" s="23">
        <v>46338.239999999998</v>
      </c>
      <c r="H121" s="24">
        <f>ROUND(F121*G121,0)</f>
        <v>31465982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</row>
    <row r="122" spans="1:19" s="27" customFormat="1" ht="78.75" hidden="1" x14ac:dyDescent="0.2">
      <c r="A122" s="18"/>
      <c r="B122" s="7" t="s">
        <v>140</v>
      </c>
      <c r="C122" s="32">
        <v>3.7</v>
      </c>
      <c r="D122" s="21" t="s">
        <v>182</v>
      </c>
      <c r="E122" s="20" t="s">
        <v>13</v>
      </c>
      <c r="F122" s="22">
        <v>271.47000000000003</v>
      </c>
      <c r="G122" s="23">
        <v>91752.18</v>
      </c>
      <c r="H122" s="24">
        <f>ROUND(F122*G122,0)</f>
        <v>24907964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</row>
    <row r="123" spans="1:19" s="27" customFormat="1" ht="78.75" hidden="1" x14ac:dyDescent="0.2">
      <c r="A123" s="18"/>
      <c r="B123" s="7" t="s">
        <v>140</v>
      </c>
      <c r="C123" s="32">
        <v>3.8</v>
      </c>
      <c r="D123" s="21" t="s">
        <v>183</v>
      </c>
      <c r="E123" s="20" t="s">
        <v>13</v>
      </c>
      <c r="F123" s="22">
        <v>89.7</v>
      </c>
      <c r="G123" s="23">
        <v>79946.73599999999</v>
      </c>
      <c r="H123" s="24">
        <f>ROUND(F123*G123,0)</f>
        <v>7171222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</row>
    <row r="124" spans="1:19" s="27" customFormat="1" ht="78.75" hidden="1" x14ac:dyDescent="0.2">
      <c r="A124" s="18"/>
      <c r="B124" s="7" t="s">
        <v>140</v>
      </c>
      <c r="C124" s="32">
        <v>3.9</v>
      </c>
      <c r="D124" s="21" t="s">
        <v>47</v>
      </c>
      <c r="E124" s="20" t="s">
        <v>48</v>
      </c>
      <c r="F124" s="22">
        <v>206.12</v>
      </c>
      <c r="G124" s="23">
        <v>7816.2599999999993</v>
      </c>
      <c r="H124" s="24">
        <f>ROUND(F124*G124,0)</f>
        <v>1611088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</row>
    <row r="125" spans="1:19" s="27" customFormat="1" ht="78.75" hidden="1" x14ac:dyDescent="0.2">
      <c r="A125" s="18"/>
      <c r="B125" s="7" t="s">
        <v>140</v>
      </c>
      <c r="C125" s="35">
        <v>3.1</v>
      </c>
      <c r="D125" s="21" t="s">
        <v>184</v>
      </c>
      <c r="E125" s="20" t="s">
        <v>19</v>
      </c>
      <c r="F125" s="22">
        <v>250</v>
      </c>
      <c r="G125" s="23">
        <v>30366.335999999999</v>
      </c>
      <c r="H125" s="24">
        <f>ROUND(F125*G125,0)</f>
        <v>7591584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</row>
    <row r="126" spans="1:19" s="27" customFormat="1" ht="78.75" hidden="1" x14ac:dyDescent="0.2">
      <c r="A126" s="18"/>
      <c r="B126" s="7" t="s">
        <v>140</v>
      </c>
      <c r="C126" s="32">
        <v>3.11</v>
      </c>
      <c r="D126" s="21" t="s">
        <v>185</v>
      </c>
      <c r="E126" s="20" t="s">
        <v>13</v>
      </c>
      <c r="F126" s="22">
        <v>850.15</v>
      </c>
      <c r="G126" s="23">
        <v>13147.812</v>
      </c>
      <c r="H126" s="24">
        <f>ROUND(F126*G126,0)</f>
        <v>11177612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</row>
    <row r="127" spans="1:19" s="30" customFormat="1" ht="78.75" hidden="1" x14ac:dyDescent="0.2">
      <c r="A127" s="28"/>
      <c r="B127" s="7" t="s">
        <v>140</v>
      </c>
      <c r="C127" s="11">
        <v>4</v>
      </c>
      <c r="D127" s="33" t="s">
        <v>186</v>
      </c>
      <c r="E127" s="31"/>
      <c r="F127" s="31"/>
      <c r="G127" s="31"/>
      <c r="H127" s="31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</row>
    <row r="128" spans="1:19" s="27" customFormat="1" ht="78.75" hidden="1" x14ac:dyDescent="0.2">
      <c r="A128" s="18"/>
      <c r="B128" s="7" t="s">
        <v>140</v>
      </c>
      <c r="C128" s="32">
        <v>4.0999999999999996</v>
      </c>
      <c r="D128" s="21" t="s">
        <v>187</v>
      </c>
      <c r="E128" s="20" t="s">
        <v>16</v>
      </c>
      <c r="F128" s="22">
        <v>4</v>
      </c>
      <c r="G128" s="23">
        <v>32198.82</v>
      </c>
      <c r="H128" s="24">
        <f>ROUND(F128*G128,0)</f>
        <v>128795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</row>
    <row r="129" spans="1:19" s="27" customFormat="1" ht="78.75" hidden="1" x14ac:dyDescent="0.2">
      <c r="A129" s="18"/>
      <c r="B129" s="7" t="s">
        <v>140</v>
      </c>
      <c r="C129" s="32">
        <v>4.2</v>
      </c>
      <c r="D129" s="21" t="s">
        <v>188</v>
      </c>
      <c r="E129" s="20" t="s">
        <v>16</v>
      </c>
      <c r="F129" s="22">
        <v>12</v>
      </c>
      <c r="G129" s="23">
        <v>53754.443999999996</v>
      </c>
      <c r="H129" s="24">
        <f>ROUND(F129*G129,0)</f>
        <v>645053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</row>
    <row r="130" spans="1:19" s="27" customFormat="1" ht="78.75" hidden="1" x14ac:dyDescent="0.2">
      <c r="A130" s="18"/>
      <c r="B130" s="7" t="s">
        <v>140</v>
      </c>
      <c r="C130" s="32">
        <v>4.3</v>
      </c>
      <c r="D130" s="21" t="s">
        <v>189</v>
      </c>
      <c r="E130" s="20" t="s">
        <v>19</v>
      </c>
      <c r="F130" s="22">
        <v>1</v>
      </c>
      <c r="G130" s="23">
        <v>36030.635999999999</v>
      </c>
      <c r="H130" s="24">
        <f>ROUND(F130*G130,0)</f>
        <v>36031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</row>
    <row r="131" spans="1:19" s="27" customFormat="1" ht="78.75" hidden="1" x14ac:dyDescent="0.2">
      <c r="A131" s="18"/>
      <c r="B131" s="7" t="s">
        <v>140</v>
      </c>
      <c r="C131" s="32">
        <v>4.4000000000000004</v>
      </c>
      <c r="D131" s="21" t="s">
        <v>190</v>
      </c>
      <c r="E131" s="20" t="s">
        <v>19</v>
      </c>
      <c r="F131" s="22">
        <v>3</v>
      </c>
      <c r="G131" s="23">
        <v>4979.8440000000001</v>
      </c>
      <c r="H131" s="24">
        <f>ROUND(F131*G131,0)</f>
        <v>14940</v>
      </c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</row>
    <row r="132" spans="1:19" s="27" customFormat="1" ht="78.75" hidden="1" x14ac:dyDescent="0.2">
      <c r="A132" s="18"/>
      <c r="B132" s="7" t="s">
        <v>140</v>
      </c>
      <c r="C132" s="32">
        <v>4.5</v>
      </c>
      <c r="D132" s="21" t="s">
        <v>191</v>
      </c>
      <c r="E132" s="20" t="s">
        <v>16</v>
      </c>
      <c r="F132" s="22">
        <v>4</v>
      </c>
      <c r="G132" s="23">
        <v>5799.8639999999996</v>
      </c>
      <c r="H132" s="24">
        <f>ROUND(F132*G132,0)</f>
        <v>23199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</row>
    <row r="133" spans="1:19" s="27" customFormat="1" ht="78.75" hidden="1" x14ac:dyDescent="0.2">
      <c r="A133" s="18"/>
      <c r="B133" s="7" t="s">
        <v>140</v>
      </c>
      <c r="C133" s="32">
        <v>4.5999999999999996</v>
      </c>
      <c r="D133" s="21" t="s">
        <v>192</v>
      </c>
      <c r="E133" s="20" t="s">
        <v>19</v>
      </c>
      <c r="F133" s="22">
        <v>1</v>
      </c>
      <c r="G133" s="23">
        <v>217797.31199999998</v>
      </c>
      <c r="H133" s="24">
        <f>ROUND(F133*G133,0)</f>
        <v>217797</v>
      </c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</row>
    <row r="134" spans="1:19" s="27" customFormat="1" ht="78.75" hidden="1" x14ac:dyDescent="0.2">
      <c r="A134" s="18"/>
      <c r="B134" s="7" t="s">
        <v>140</v>
      </c>
      <c r="C134" s="32">
        <v>4.7</v>
      </c>
      <c r="D134" s="21" t="s">
        <v>193</v>
      </c>
      <c r="E134" s="20" t="s">
        <v>16</v>
      </c>
      <c r="F134" s="22">
        <v>40</v>
      </c>
      <c r="G134" s="23">
        <v>9478.1039999999994</v>
      </c>
      <c r="H134" s="24">
        <f>ROUND(F134*G134,0)</f>
        <v>379124</v>
      </c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</row>
    <row r="135" spans="1:19" s="27" customFormat="1" ht="78.75" hidden="1" x14ac:dyDescent="0.2">
      <c r="A135" s="18"/>
      <c r="B135" s="7" t="s">
        <v>140</v>
      </c>
      <c r="C135" s="32">
        <v>4.8</v>
      </c>
      <c r="D135" s="21" t="s">
        <v>194</v>
      </c>
      <c r="E135" s="20" t="s">
        <v>19</v>
      </c>
      <c r="F135" s="22">
        <v>1</v>
      </c>
      <c r="G135" s="23">
        <v>5717438.6524324231</v>
      </c>
      <c r="H135" s="24">
        <f>ROUND(F135*G135,0)</f>
        <v>5717439</v>
      </c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</row>
    <row r="136" spans="1:19" s="27" customFormat="1" ht="78.75" hidden="1" x14ac:dyDescent="0.2">
      <c r="A136" s="18"/>
      <c r="B136" s="7" t="s">
        <v>140</v>
      </c>
      <c r="C136" s="32">
        <v>4.9000000000000004</v>
      </c>
      <c r="D136" s="21" t="s">
        <v>99</v>
      </c>
      <c r="E136" s="20" t="s">
        <v>16</v>
      </c>
      <c r="F136" s="22">
        <v>1000</v>
      </c>
      <c r="G136" s="23">
        <v>6163.8959999999997</v>
      </c>
      <c r="H136" s="24">
        <f>ROUND(F136*G136,0)</f>
        <v>6163896</v>
      </c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</row>
    <row r="137" spans="1:19" s="27" customFormat="1" ht="78.75" hidden="1" x14ac:dyDescent="0.2">
      <c r="A137" s="18"/>
      <c r="B137" s="7" t="s">
        <v>140</v>
      </c>
      <c r="C137" s="35">
        <v>4.0999999999999996</v>
      </c>
      <c r="D137" s="21" t="s">
        <v>103</v>
      </c>
      <c r="E137" s="20" t="s">
        <v>16</v>
      </c>
      <c r="F137" s="22">
        <v>300</v>
      </c>
      <c r="G137" s="23">
        <v>4505.8440000000001</v>
      </c>
      <c r="H137" s="24">
        <f>ROUND(F137*G137,0)</f>
        <v>1351753</v>
      </c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</row>
    <row r="138" spans="1:19" s="27" customFormat="1" ht="78.75" hidden="1" x14ac:dyDescent="0.2">
      <c r="A138" s="18"/>
      <c r="B138" s="7" t="s">
        <v>140</v>
      </c>
      <c r="C138" s="32">
        <v>4.1100000000000003</v>
      </c>
      <c r="D138" s="21" t="s">
        <v>195</v>
      </c>
      <c r="E138" s="20" t="s">
        <v>16</v>
      </c>
      <c r="F138" s="22">
        <v>74</v>
      </c>
      <c r="G138" s="23">
        <v>29576.651999999998</v>
      </c>
      <c r="H138" s="24">
        <f>ROUND(F138*G138,0)</f>
        <v>2188672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</row>
    <row r="139" spans="1:19" s="27" customFormat="1" ht="78.75" hidden="1" x14ac:dyDescent="0.2">
      <c r="A139" s="18"/>
      <c r="B139" s="7" t="s">
        <v>140</v>
      </c>
      <c r="C139" s="32">
        <v>4.12</v>
      </c>
      <c r="D139" s="21" t="s">
        <v>196</v>
      </c>
      <c r="E139" s="20" t="s">
        <v>19</v>
      </c>
      <c r="F139" s="22">
        <v>8</v>
      </c>
      <c r="G139" s="23">
        <v>15094.055999999999</v>
      </c>
      <c r="H139" s="24">
        <f>ROUND(F139*G139,0)</f>
        <v>120752</v>
      </c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</row>
    <row r="140" spans="1:19" s="27" customFormat="1" ht="78.75" hidden="1" x14ac:dyDescent="0.2">
      <c r="A140" s="18"/>
      <c r="B140" s="7" t="s">
        <v>140</v>
      </c>
      <c r="C140" s="32">
        <v>4.13</v>
      </c>
      <c r="D140" s="21" t="s">
        <v>197</v>
      </c>
      <c r="E140" s="20" t="s">
        <v>16</v>
      </c>
      <c r="F140" s="22">
        <v>256</v>
      </c>
      <c r="G140" s="23">
        <v>38212.932000000001</v>
      </c>
      <c r="H140" s="24">
        <f>ROUND(F140*G140,0)</f>
        <v>9782511</v>
      </c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</row>
    <row r="141" spans="1:19" s="27" customFormat="1" ht="78.75" hidden="1" x14ac:dyDescent="0.2">
      <c r="A141" s="18"/>
      <c r="B141" s="7" t="s">
        <v>140</v>
      </c>
      <c r="C141" s="32">
        <v>4.1399999999999997</v>
      </c>
      <c r="D141" s="21" t="s">
        <v>198</v>
      </c>
      <c r="E141" s="20" t="s">
        <v>19</v>
      </c>
      <c r="F141" s="22">
        <v>8</v>
      </c>
      <c r="G141" s="23">
        <v>1659477.7919999999</v>
      </c>
      <c r="H141" s="24">
        <f>ROUND(F141*G141,0)</f>
        <v>13275822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</row>
    <row r="142" spans="1:19" s="27" customFormat="1" ht="78.75" hidden="1" x14ac:dyDescent="0.2">
      <c r="A142" s="18"/>
      <c r="B142" s="7" t="s">
        <v>140</v>
      </c>
      <c r="C142" s="32">
        <v>4.1500000000000004</v>
      </c>
      <c r="D142" s="21" t="s">
        <v>119</v>
      </c>
      <c r="E142" s="20" t="s">
        <v>16</v>
      </c>
      <c r="F142" s="22">
        <v>155</v>
      </c>
      <c r="G142" s="23">
        <v>58818.659999999996</v>
      </c>
      <c r="H142" s="24">
        <f>ROUND(F142*G142,0)</f>
        <v>9116892</v>
      </c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</row>
    <row r="143" spans="1:19" s="27" customFormat="1" ht="78.75" hidden="1" x14ac:dyDescent="0.2">
      <c r="A143" s="18"/>
      <c r="B143" s="7" t="s">
        <v>140</v>
      </c>
      <c r="C143" s="32">
        <v>4.16</v>
      </c>
      <c r="D143" s="21" t="s">
        <v>137</v>
      </c>
      <c r="E143" s="20" t="s">
        <v>19</v>
      </c>
      <c r="F143" s="22">
        <v>2</v>
      </c>
      <c r="G143" s="23">
        <v>296613.08399999997</v>
      </c>
      <c r="H143" s="24">
        <f>ROUND(F143*G143,0)</f>
        <v>593226</v>
      </c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</row>
    <row r="144" spans="1:19" s="27" customFormat="1" ht="78.75" hidden="1" x14ac:dyDescent="0.2">
      <c r="A144" s="18"/>
      <c r="B144" s="7" t="s">
        <v>140</v>
      </c>
      <c r="C144" s="32">
        <v>4.17</v>
      </c>
      <c r="D144" s="21" t="s">
        <v>135</v>
      </c>
      <c r="E144" s="20" t="s">
        <v>19</v>
      </c>
      <c r="F144" s="22">
        <v>2</v>
      </c>
      <c r="G144" s="23">
        <v>286863.85200000001</v>
      </c>
      <c r="H144" s="24">
        <f>ROUND(F144*G144,0)</f>
        <v>573728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</row>
    <row r="145" spans="1:19" s="27" customFormat="1" ht="78.75" hidden="1" x14ac:dyDescent="0.2">
      <c r="A145" s="18"/>
      <c r="B145" s="7" t="s">
        <v>140</v>
      </c>
      <c r="C145" s="32">
        <v>4.18</v>
      </c>
      <c r="D145" s="21" t="s">
        <v>123</v>
      </c>
      <c r="E145" s="20" t="s">
        <v>19</v>
      </c>
      <c r="F145" s="22">
        <v>22</v>
      </c>
      <c r="G145" s="23">
        <v>103692.23999999999</v>
      </c>
      <c r="H145" s="24">
        <f>ROUND(F145*G145,0)</f>
        <v>2281229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</row>
    <row r="146" spans="1:19" s="27" customFormat="1" ht="78.75" hidden="1" x14ac:dyDescent="0.2">
      <c r="A146" s="18"/>
      <c r="B146" s="7" t="s">
        <v>140</v>
      </c>
      <c r="C146" s="32">
        <v>4.1900000000000004</v>
      </c>
      <c r="D146" s="21" t="s">
        <v>121</v>
      </c>
      <c r="E146" s="20" t="s">
        <v>19</v>
      </c>
      <c r="F146" s="22">
        <v>5</v>
      </c>
      <c r="G146" s="23">
        <v>396845.12399999995</v>
      </c>
      <c r="H146" s="24">
        <f>ROUND(F146*G146,0)</f>
        <v>1984226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</row>
    <row r="147" spans="1:19" s="27" customFormat="1" ht="78.75" hidden="1" x14ac:dyDescent="0.2">
      <c r="A147" s="18"/>
      <c r="B147" s="7" t="s">
        <v>140</v>
      </c>
      <c r="C147" s="20" t="s">
        <v>199</v>
      </c>
      <c r="D147" s="21" t="s">
        <v>129</v>
      </c>
      <c r="E147" s="20" t="s">
        <v>16</v>
      </c>
      <c r="F147" s="22">
        <v>100</v>
      </c>
      <c r="G147" s="23">
        <v>29850.624</v>
      </c>
      <c r="H147" s="24">
        <f>ROUND(F147*G147,0)</f>
        <v>2985062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</row>
    <row r="148" spans="1:19" s="27" customFormat="1" ht="78.75" hidden="1" x14ac:dyDescent="0.2">
      <c r="A148" s="18"/>
      <c r="B148" s="7" t="s">
        <v>140</v>
      </c>
      <c r="C148" s="32">
        <v>4.21</v>
      </c>
      <c r="D148" s="21" t="s">
        <v>200</v>
      </c>
      <c r="E148" s="20" t="s">
        <v>19</v>
      </c>
      <c r="F148" s="22">
        <v>4</v>
      </c>
      <c r="G148" s="23">
        <v>414021.93599999999</v>
      </c>
      <c r="H148" s="24">
        <f>ROUND(F148*G148,0)</f>
        <v>1656088</v>
      </c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</row>
    <row r="149" spans="1:19" s="27" customFormat="1" ht="78.75" hidden="1" x14ac:dyDescent="0.2">
      <c r="A149" s="18"/>
      <c r="B149" s="7" t="s">
        <v>140</v>
      </c>
      <c r="C149" s="32">
        <v>4.22</v>
      </c>
      <c r="D149" s="21" t="s">
        <v>112</v>
      </c>
      <c r="E149" s="20" t="s">
        <v>19</v>
      </c>
      <c r="F149" s="22">
        <v>1</v>
      </c>
      <c r="G149" s="23">
        <v>693424.08</v>
      </c>
      <c r="H149" s="24">
        <f>ROUND(F149*G149,0)</f>
        <v>693424</v>
      </c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</row>
    <row r="150" spans="1:19" s="27" customFormat="1" ht="78.75" hidden="1" x14ac:dyDescent="0.2">
      <c r="A150" s="18"/>
      <c r="B150" s="7" t="s">
        <v>140</v>
      </c>
      <c r="C150" s="32">
        <v>4.2300000000000004</v>
      </c>
      <c r="D150" s="21" t="s">
        <v>114</v>
      </c>
      <c r="E150" s="20" t="s">
        <v>19</v>
      </c>
      <c r="F150" s="22">
        <v>6</v>
      </c>
      <c r="G150" s="23">
        <v>559470.73199999996</v>
      </c>
      <c r="H150" s="24">
        <f>ROUND(F150*G150,0)</f>
        <v>3356824</v>
      </c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</row>
    <row r="151" spans="1:19" s="27" customFormat="1" ht="78.75" hidden="1" x14ac:dyDescent="0.2">
      <c r="A151" s="18"/>
      <c r="B151" s="7" t="s">
        <v>140</v>
      </c>
      <c r="C151" s="32">
        <v>4.24</v>
      </c>
      <c r="D151" s="21" t="s">
        <v>116</v>
      </c>
      <c r="E151" s="20" t="s">
        <v>19</v>
      </c>
      <c r="F151" s="22">
        <v>6</v>
      </c>
      <c r="G151" s="23">
        <v>267625.14</v>
      </c>
      <c r="H151" s="24">
        <f>ROUND(F151*G151,0)</f>
        <v>1605751</v>
      </c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</row>
    <row r="152" spans="1:19" s="27" customFormat="1" ht="78.75" hidden="1" x14ac:dyDescent="0.2">
      <c r="A152" s="18"/>
      <c r="B152" s="7" t="s">
        <v>140</v>
      </c>
      <c r="C152" s="32">
        <v>4.25</v>
      </c>
      <c r="D152" s="21" t="s">
        <v>22</v>
      </c>
      <c r="E152" s="20" t="s">
        <v>23</v>
      </c>
      <c r="F152" s="22">
        <v>22</v>
      </c>
      <c r="G152" s="23">
        <v>27462.611999999997</v>
      </c>
      <c r="H152" s="24">
        <f>ROUND(F152*G152,0)</f>
        <v>604177</v>
      </c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</row>
    <row r="153" spans="1:19" s="27" customFormat="1" ht="78.75" hidden="1" x14ac:dyDescent="0.2">
      <c r="A153" s="18"/>
      <c r="B153" s="7" t="s">
        <v>140</v>
      </c>
      <c r="C153" s="32">
        <v>4.26</v>
      </c>
      <c r="D153" s="21" t="s">
        <v>201</v>
      </c>
      <c r="E153" s="20" t="s">
        <v>23</v>
      </c>
      <c r="F153" s="22">
        <v>22</v>
      </c>
      <c r="G153" s="23">
        <v>13300.439999999999</v>
      </c>
      <c r="H153" s="24">
        <f>ROUND(F153*G153,0)</f>
        <v>292610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</row>
    <row r="154" spans="1:19" s="30" customFormat="1" ht="78.75" hidden="1" x14ac:dyDescent="0.2">
      <c r="A154" s="28"/>
      <c r="B154" s="7" t="s">
        <v>140</v>
      </c>
      <c r="C154" s="11">
        <v>5</v>
      </c>
      <c r="D154" s="12" t="s">
        <v>202</v>
      </c>
      <c r="E154" s="31"/>
      <c r="F154" s="31"/>
      <c r="G154" s="31"/>
      <c r="H154" s="31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</row>
    <row r="155" spans="1:19" s="27" customFormat="1" ht="78.75" hidden="1" x14ac:dyDescent="0.2">
      <c r="A155" s="18"/>
      <c r="B155" s="7" t="s">
        <v>140</v>
      </c>
      <c r="C155" s="32">
        <v>5.0999999999999996</v>
      </c>
      <c r="D155" s="21" t="s">
        <v>77</v>
      </c>
      <c r="E155" s="20" t="s">
        <v>13</v>
      </c>
      <c r="F155" s="22">
        <v>1756.26</v>
      </c>
      <c r="G155" s="23">
        <v>3602.3999999999996</v>
      </c>
      <c r="H155" s="24">
        <f>ROUND(F155*G155,0)</f>
        <v>6326751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</row>
    <row r="156" spans="1:19" s="30" customFormat="1" ht="78.75" hidden="1" x14ac:dyDescent="0.2">
      <c r="A156" s="28"/>
      <c r="B156" s="7" t="s">
        <v>140</v>
      </c>
      <c r="C156" s="11">
        <v>6</v>
      </c>
      <c r="D156" s="36"/>
      <c r="E156" s="36"/>
      <c r="F156" s="36"/>
      <c r="G156" s="36"/>
      <c r="H156" s="31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</row>
    <row r="157" spans="1:19" s="27" customFormat="1" ht="78.75" hidden="1" x14ac:dyDescent="0.2">
      <c r="A157" s="18"/>
      <c r="B157" s="7" t="s">
        <v>140</v>
      </c>
      <c r="C157" s="32">
        <v>6.1</v>
      </c>
      <c r="D157" s="21" t="s">
        <v>138</v>
      </c>
      <c r="E157" s="20" t="s">
        <v>139</v>
      </c>
      <c r="F157" s="34">
        <v>0.02</v>
      </c>
      <c r="G157" s="23">
        <v>566846573.00399995</v>
      </c>
      <c r="H157" s="24">
        <f>ROUND(F157*G157,0)</f>
        <v>11336931</v>
      </c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</row>
    <row r="158" spans="1:19" s="30" customFormat="1" ht="47.25" hidden="1" x14ac:dyDescent="0.2">
      <c r="A158" s="28"/>
      <c r="B158" s="7" t="s">
        <v>203</v>
      </c>
      <c r="C158" s="11">
        <v>1</v>
      </c>
      <c r="D158" s="12" t="s">
        <v>204</v>
      </c>
      <c r="E158" s="31"/>
      <c r="F158" s="31"/>
      <c r="G158" s="31"/>
      <c r="H158" s="31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</row>
    <row r="159" spans="1:19" s="30" customFormat="1" ht="47.25" hidden="1" x14ac:dyDescent="0.2">
      <c r="A159" s="28"/>
      <c r="B159" s="7" t="s">
        <v>203</v>
      </c>
      <c r="C159" s="13">
        <v>1.1000000000000001</v>
      </c>
      <c r="D159" s="12" t="s">
        <v>10</v>
      </c>
      <c r="E159" s="15"/>
      <c r="F159" s="16"/>
      <c r="G159" s="16"/>
      <c r="H159" s="17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</row>
    <row r="160" spans="1:19" s="38" customFormat="1" ht="47.25" hidden="1" x14ac:dyDescent="0.2">
      <c r="A160" s="25"/>
      <c r="B160" s="7" t="s">
        <v>203</v>
      </c>
      <c r="C160" s="20" t="s">
        <v>11</v>
      </c>
      <c r="D160" s="21" t="s">
        <v>205</v>
      </c>
      <c r="E160" s="20" t="s">
        <v>13</v>
      </c>
      <c r="F160" s="22">
        <v>873.26</v>
      </c>
      <c r="G160" s="23">
        <v>1984.164</v>
      </c>
      <c r="H160" s="24">
        <f>ROUND(F160*G160,0)</f>
        <v>1732691</v>
      </c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</row>
    <row r="161" spans="1:19" s="38" customFormat="1" ht="47.25" hidden="1" x14ac:dyDescent="0.2">
      <c r="A161" s="25"/>
      <c r="B161" s="7" t="s">
        <v>203</v>
      </c>
      <c r="C161" s="20" t="s">
        <v>14</v>
      </c>
      <c r="D161" s="21" t="s">
        <v>206</v>
      </c>
      <c r="E161" s="20" t="s">
        <v>16</v>
      </c>
      <c r="F161" s="22">
        <v>120.99</v>
      </c>
      <c r="G161" s="23">
        <v>15791.784</v>
      </c>
      <c r="H161" s="24">
        <f>ROUND(F161*G161,0)</f>
        <v>1910648</v>
      </c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</row>
    <row r="162" spans="1:19" s="38" customFormat="1" ht="47.25" hidden="1" x14ac:dyDescent="0.2">
      <c r="A162" s="25"/>
      <c r="B162" s="7" t="s">
        <v>203</v>
      </c>
      <c r="C162" s="20" t="s">
        <v>17</v>
      </c>
      <c r="D162" s="21" t="s">
        <v>207</v>
      </c>
      <c r="E162" s="20" t="s">
        <v>13</v>
      </c>
      <c r="F162" s="22">
        <v>214.42</v>
      </c>
      <c r="G162" s="23">
        <v>26590.451999999997</v>
      </c>
      <c r="H162" s="24">
        <f>ROUND(F162*G162,0)</f>
        <v>5701525</v>
      </c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</row>
    <row r="163" spans="1:19" s="38" customFormat="1" ht="47.25" hidden="1" x14ac:dyDescent="0.2">
      <c r="A163" s="25"/>
      <c r="B163" s="7" t="s">
        <v>203</v>
      </c>
      <c r="C163" s="20" t="s">
        <v>142</v>
      </c>
      <c r="D163" s="21" t="s">
        <v>153</v>
      </c>
      <c r="E163" s="20" t="s">
        <v>23</v>
      </c>
      <c r="F163" s="22">
        <v>45.03</v>
      </c>
      <c r="G163" s="23">
        <v>5493.66</v>
      </c>
      <c r="H163" s="24">
        <f>ROUND(F163*G163,0)</f>
        <v>247380</v>
      </c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</row>
    <row r="164" spans="1:19" s="38" customFormat="1" ht="47.25" hidden="1" x14ac:dyDescent="0.2">
      <c r="A164" s="25"/>
      <c r="B164" s="7" t="s">
        <v>203</v>
      </c>
      <c r="C164" s="20" t="s">
        <v>144</v>
      </c>
      <c r="D164" s="21" t="s">
        <v>37</v>
      </c>
      <c r="E164" s="20" t="s">
        <v>38</v>
      </c>
      <c r="F164" s="22">
        <v>1832.73</v>
      </c>
      <c r="G164" s="23">
        <v>1598.328</v>
      </c>
      <c r="H164" s="24">
        <f>ROUND(F164*G164,0)</f>
        <v>2929304</v>
      </c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</row>
    <row r="165" spans="1:19" s="30" customFormat="1" ht="47.25" hidden="1" x14ac:dyDescent="0.2">
      <c r="A165" s="28"/>
      <c r="B165" s="7" t="s">
        <v>203</v>
      </c>
      <c r="C165" s="13">
        <v>1.2</v>
      </c>
      <c r="D165" s="12" t="s">
        <v>208</v>
      </c>
      <c r="E165" s="15"/>
      <c r="F165" s="16"/>
      <c r="G165" s="16"/>
      <c r="H165" s="17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</row>
    <row r="166" spans="1:19" s="38" customFormat="1" ht="47.25" hidden="1" x14ac:dyDescent="0.2">
      <c r="A166" s="25"/>
      <c r="B166" s="7" t="s">
        <v>203</v>
      </c>
      <c r="C166" s="20" t="s">
        <v>21</v>
      </c>
      <c r="D166" s="21" t="s">
        <v>209</v>
      </c>
      <c r="E166" s="20" t="s">
        <v>13</v>
      </c>
      <c r="F166" s="22">
        <v>212.24</v>
      </c>
      <c r="G166" s="23">
        <v>574.48799999999994</v>
      </c>
      <c r="H166" s="24">
        <f>ROUND(F166*G166,0)</f>
        <v>121929</v>
      </c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</row>
    <row r="167" spans="1:19" s="38" customFormat="1" ht="47.25" hidden="1" x14ac:dyDescent="0.2">
      <c r="A167" s="25"/>
      <c r="B167" s="7" t="s">
        <v>203</v>
      </c>
      <c r="C167" s="20" t="s">
        <v>24</v>
      </c>
      <c r="D167" s="21" t="s">
        <v>210</v>
      </c>
      <c r="E167" s="20" t="s">
        <v>23</v>
      </c>
      <c r="F167" s="22">
        <v>144.32</v>
      </c>
      <c r="G167" s="23">
        <v>6763.98</v>
      </c>
      <c r="H167" s="24">
        <f>ROUND(F167*G167,0)</f>
        <v>976178</v>
      </c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</row>
    <row r="168" spans="1:19" s="38" customFormat="1" ht="47.25" hidden="1" x14ac:dyDescent="0.2">
      <c r="A168" s="25"/>
      <c r="B168" s="7" t="s">
        <v>203</v>
      </c>
      <c r="C168" s="20" t="s">
        <v>26</v>
      </c>
      <c r="D168" s="21" t="s">
        <v>153</v>
      </c>
      <c r="E168" s="20" t="s">
        <v>23</v>
      </c>
      <c r="F168" s="22">
        <v>158.75</v>
      </c>
      <c r="G168" s="23">
        <v>5493.66</v>
      </c>
      <c r="H168" s="24">
        <f>ROUND(F168*G168,0)</f>
        <v>872119</v>
      </c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</row>
    <row r="169" spans="1:19" s="38" customFormat="1" ht="47.25" hidden="1" x14ac:dyDescent="0.2">
      <c r="A169" s="25"/>
      <c r="B169" s="7" t="s">
        <v>203</v>
      </c>
      <c r="C169" s="20" t="s">
        <v>28</v>
      </c>
      <c r="D169" s="21" t="s">
        <v>37</v>
      </c>
      <c r="E169" s="20" t="s">
        <v>38</v>
      </c>
      <c r="F169" s="22">
        <v>6461.13</v>
      </c>
      <c r="G169" s="23">
        <v>1598.328</v>
      </c>
      <c r="H169" s="24">
        <f>ROUND(F169*G169,0)</f>
        <v>10327005</v>
      </c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</row>
    <row r="170" spans="1:19" s="38" customFormat="1" ht="47.25" hidden="1" x14ac:dyDescent="0.2">
      <c r="A170" s="25"/>
      <c r="B170" s="7" t="s">
        <v>203</v>
      </c>
      <c r="C170" s="20" t="s">
        <v>30</v>
      </c>
      <c r="D170" s="21" t="s">
        <v>35</v>
      </c>
      <c r="E170" s="20" t="s">
        <v>13</v>
      </c>
      <c r="F170" s="22">
        <v>212.24</v>
      </c>
      <c r="G170" s="23">
        <v>1437.1679999999999</v>
      </c>
      <c r="H170" s="24">
        <f>ROUND(F170*G170,0)</f>
        <v>305025</v>
      </c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</row>
    <row r="171" spans="1:19" s="38" customFormat="1" ht="47.25" hidden="1" x14ac:dyDescent="0.2">
      <c r="A171" s="25"/>
      <c r="B171" s="7" t="s">
        <v>203</v>
      </c>
      <c r="C171" s="20" t="s">
        <v>32</v>
      </c>
      <c r="D171" s="21" t="s">
        <v>155</v>
      </c>
      <c r="E171" s="20" t="s">
        <v>23</v>
      </c>
      <c r="F171" s="22">
        <v>21.23</v>
      </c>
      <c r="G171" s="23">
        <v>99984.611999999994</v>
      </c>
      <c r="H171" s="24">
        <f>ROUND(F171*G171,0)</f>
        <v>2122673</v>
      </c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</row>
    <row r="172" spans="1:19" s="38" customFormat="1" ht="47.25" hidden="1" x14ac:dyDescent="0.2">
      <c r="A172" s="25"/>
      <c r="B172" s="7" t="s">
        <v>203</v>
      </c>
      <c r="C172" s="20" t="s">
        <v>34</v>
      </c>
      <c r="D172" s="21" t="s">
        <v>31</v>
      </c>
      <c r="E172" s="20" t="s">
        <v>13</v>
      </c>
      <c r="F172" s="22">
        <v>212.24</v>
      </c>
      <c r="G172" s="23">
        <v>10759.8</v>
      </c>
      <c r="H172" s="24">
        <f>ROUND(F172*G172,0)</f>
        <v>2283660</v>
      </c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</row>
    <row r="173" spans="1:19" s="38" customFormat="1" ht="47.25" hidden="1" x14ac:dyDescent="0.2">
      <c r="A173" s="25"/>
      <c r="B173" s="7" t="s">
        <v>203</v>
      </c>
      <c r="C173" s="20" t="s">
        <v>36</v>
      </c>
      <c r="D173" s="21" t="s">
        <v>25</v>
      </c>
      <c r="E173" s="20" t="s">
        <v>23</v>
      </c>
      <c r="F173" s="22">
        <v>31.84</v>
      </c>
      <c r="G173" s="23">
        <v>114330.696</v>
      </c>
      <c r="H173" s="24">
        <f>ROUND(F173*G173,0)</f>
        <v>3640289</v>
      </c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</row>
    <row r="174" spans="1:19" s="38" customFormat="1" ht="47.25" hidden="1" x14ac:dyDescent="0.2">
      <c r="A174" s="25"/>
      <c r="B174" s="7" t="s">
        <v>203</v>
      </c>
      <c r="C174" s="20" t="s">
        <v>39</v>
      </c>
      <c r="D174" s="21" t="s">
        <v>27</v>
      </c>
      <c r="E174" s="20" t="s">
        <v>23</v>
      </c>
      <c r="F174" s="22">
        <v>63.67</v>
      </c>
      <c r="G174" s="23">
        <v>69488.399999999994</v>
      </c>
      <c r="H174" s="24">
        <f>ROUND(F174*G174,0)</f>
        <v>4424326</v>
      </c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</row>
    <row r="175" spans="1:19" s="38" customFormat="1" ht="47.25" hidden="1" x14ac:dyDescent="0.2">
      <c r="A175" s="25"/>
      <c r="B175" s="7" t="s">
        <v>203</v>
      </c>
      <c r="C175" s="20" t="s">
        <v>41</v>
      </c>
      <c r="D175" s="21" t="s">
        <v>156</v>
      </c>
      <c r="E175" s="20" t="s">
        <v>13</v>
      </c>
      <c r="F175" s="22">
        <v>212.24</v>
      </c>
      <c r="G175" s="23">
        <v>38966.591999999997</v>
      </c>
      <c r="H175" s="24">
        <f>ROUND(F175*G175,0)</f>
        <v>8270269</v>
      </c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</row>
    <row r="176" spans="1:19" s="38" customFormat="1" ht="47.25" hidden="1" x14ac:dyDescent="0.2">
      <c r="A176" s="25"/>
      <c r="B176" s="7" t="s">
        <v>203</v>
      </c>
      <c r="C176" s="20" t="s">
        <v>160</v>
      </c>
      <c r="D176" s="21" t="s">
        <v>157</v>
      </c>
      <c r="E176" s="20" t="s">
        <v>13</v>
      </c>
      <c r="F176" s="22">
        <v>212.24</v>
      </c>
      <c r="G176" s="23">
        <v>10586.315999999999</v>
      </c>
      <c r="H176" s="24">
        <f>ROUND(F176*G176,0)</f>
        <v>2246840</v>
      </c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</row>
    <row r="177" spans="1:19" s="38" customFormat="1" ht="47.25" hidden="1" x14ac:dyDescent="0.2">
      <c r="A177" s="25"/>
      <c r="B177" s="7" t="s">
        <v>203</v>
      </c>
      <c r="C177" s="20" t="s">
        <v>162</v>
      </c>
      <c r="D177" s="21" t="s">
        <v>211</v>
      </c>
      <c r="E177" s="20" t="s">
        <v>38</v>
      </c>
      <c r="F177" s="22">
        <v>4284.3599999999997</v>
      </c>
      <c r="G177" s="23">
        <v>1598.328</v>
      </c>
      <c r="H177" s="24">
        <f>ROUND(F177*G177,0)</f>
        <v>6847813</v>
      </c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</row>
    <row r="178" spans="1:19" s="30" customFormat="1" ht="47.25" hidden="1" x14ac:dyDescent="0.2">
      <c r="A178" s="28"/>
      <c r="B178" s="7" t="s">
        <v>203</v>
      </c>
      <c r="C178" s="13">
        <v>1.3</v>
      </c>
      <c r="D178" s="12" t="s">
        <v>43</v>
      </c>
      <c r="E178" s="15"/>
      <c r="F178" s="16"/>
      <c r="G178" s="16"/>
      <c r="H178" s="17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</row>
    <row r="179" spans="1:19" s="38" customFormat="1" ht="47.25" hidden="1" x14ac:dyDescent="0.2">
      <c r="A179" s="25"/>
      <c r="B179" s="7" t="s">
        <v>203</v>
      </c>
      <c r="C179" s="20" t="s">
        <v>44</v>
      </c>
      <c r="D179" s="21" t="s">
        <v>166</v>
      </c>
      <c r="E179" s="20" t="s">
        <v>13</v>
      </c>
      <c r="F179" s="22">
        <v>873.23</v>
      </c>
      <c r="G179" s="23">
        <v>3422.2799999999997</v>
      </c>
      <c r="H179" s="24">
        <f>ROUND(F179*G179,0)</f>
        <v>2988438</v>
      </c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</row>
    <row r="180" spans="1:19" s="38" customFormat="1" ht="47.25" hidden="1" x14ac:dyDescent="0.2">
      <c r="A180" s="25"/>
      <c r="B180" s="7" t="s">
        <v>203</v>
      </c>
      <c r="C180" s="20" t="s">
        <v>46</v>
      </c>
      <c r="D180" s="21" t="s">
        <v>212</v>
      </c>
      <c r="E180" s="20" t="s">
        <v>23</v>
      </c>
      <c r="F180" s="22">
        <v>22.18</v>
      </c>
      <c r="G180" s="23">
        <v>1060361.7</v>
      </c>
      <c r="H180" s="24">
        <f>ROUND(F180*G180,0)</f>
        <v>23518823</v>
      </c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</row>
    <row r="181" spans="1:19" s="38" customFormat="1" ht="47.25" hidden="1" x14ac:dyDescent="0.2">
      <c r="A181" s="25"/>
      <c r="B181" s="7" t="s">
        <v>203</v>
      </c>
      <c r="C181" s="20" t="s">
        <v>49</v>
      </c>
      <c r="D181" s="21" t="s">
        <v>29</v>
      </c>
      <c r="E181" s="20" t="s">
        <v>13</v>
      </c>
      <c r="F181" s="22">
        <v>873.23</v>
      </c>
      <c r="G181" s="23">
        <v>10628.975999999999</v>
      </c>
      <c r="H181" s="24">
        <f>ROUND(F181*G181,0)</f>
        <v>9281541</v>
      </c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</row>
    <row r="182" spans="1:19" s="38" customFormat="1" ht="47.25" hidden="1" x14ac:dyDescent="0.2">
      <c r="A182" s="25"/>
      <c r="B182" s="7" t="s">
        <v>203</v>
      </c>
      <c r="C182" s="20" t="s">
        <v>51</v>
      </c>
      <c r="D182" s="21" t="s">
        <v>165</v>
      </c>
      <c r="E182" s="20" t="s">
        <v>13</v>
      </c>
      <c r="F182" s="22">
        <v>873.23</v>
      </c>
      <c r="G182" s="23">
        <v>144570</v>
      </c>
      <c r="H182" s="24">
        <f>ROUND(F182*G182,0)</f>
        <v>126242861</v>
      </c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</row>
    <row r="183" spans="1:19" s="38" customFormat="1" ht="47.25" hidden="1" x14ac:dyDescent="0.2">
      <c r="A183" s="25"/>
      <c r="B183" s="7" t="s">
        <v>203</v>
      </c>
      <c r="C183" s="20" t="s">
        <v>53</v>
      </c>
      <c r="D183" s="21" t="s">
        <v>213</v>
      </c>
      <c r="E183" s="20" t="s">
        <v>23</v>
      </c>
      <c r="F183" s="22">
        <v>3.44</v>
      </c>
      <c r="G183" s="23">
        <v>840286.34399999992</v>
      </c>
      <c r="H183" s="24">
        <f>ROUND(F183*G183,0)</f>
        <v>2890585</v>
      </c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</row>
    <row r="184" spans="1:19" s="38" customFormat="1" ht="47.25" hidden="1" x14ac:dyDescent="0.2">
      <c r="A184" s="25"/>
      <c r="B184" s="7" t="s">
        <v>203</v>
      </c>
      <c r="C184" s="20" t="s">
        <v>55</v>
      </c>
      <c r="D184" s="21" t="s">
        <v>214</v>
      </c>
      <c r="E184" s="20" t="s">
        <v>48</v>
      </c>
      <c r="F184" s="22">
        <v>351.52</v>
      </c>
      <c r="G184" s="23">
        <v>6597.1319999999996</v>
      </c>
      <c r="H184" s="24">
        <f>ROUND(F184*G184,0)</f>
        <v>2319024</v>
      </c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</row>
    <row r="185" spans="1:19" s="38" customFormat="1" ht="47.25" hidden="1" x14ac:dyDescent="0.2">
      <c r="A185" s="25"/>
      <c r="B185" s="7" t="s">
        <v>203</v>
      </c>
      <c r="C185" s="20" t="s">
        <v>57</v>
      </c>
      <c r="D185" s="21" t="s">
        <v>215</v>
      </c>
      <c r="E185" s="20" t="s">
        <v>38</v>
      </c>
      <c r="F185" s="22">
        <v>743.03</v>
      </c>
      <c r="G185" s="23">
        <v>1545.24</v>
      </c>
      <c r="H185" s="24">
        <f>ROUND(F185*G185,0)</f>
        <v>1148160</v>
      </c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</row>
    <row r="186" spans="1:19" s="38" customFormat="1" ht="47.25" hidden="1" x14ac:dyDescent="0.2">
      <c r="A186" s="25"/>
      <c r="B186" s="7" t="s">
        <v>203</v>
      </c>
      <c r="C186" s="20" t="s">
        <v>59</v>
      </c>
      <c r="D186" s="21" t="s">
        <v>216</v>
      </c>
      <c r="E186" s="20" t="s">
        <v>217</v>
      </c>
      <c r="F186" s="22">
        <v>1370.15</v>
      </c>
      <c r="G186" s="23">
        <v>690.14400000000001</v>
      </c>
      <c r="H186" s="24">
        <f>ROUND(F186*G186,0)</f>
        <v>945601</v>
      </c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</row>
    <row r="187" spans="1:19" s="30" customFormat="1" ht="47.25" hidden="1" x14ac:dyDescent="0.2">
      <c r="A187" s="28"/>
      <c r="B187" s="7" t="s">
        <v>203</v>
      </c>
      <c r="C187" s="13">
        <v>1.4</v>
      </c>
      <c r="D187" s="12" t="s">
        <v>218</v>
      </c>
      <c r="E187" s="15"/>
      <c r="F187" s="16"/>
      <c r="G187" s="16"/>
      <c r="H187" s="17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</row>
    <row r="188" spans="1:19" s="38" customFormat="1" ht="47.25" hidden="1" x14ac:dyDescent="0.2">
      <c r="A188" s="25"/>
      <c r="B188" s="7" t="s">
        <v>203</v>
      </c>
      <c r="C188" s="20" t="s">
        <v>219</v>
      </c>
      <c r="D188" s="21" t="s">
        <v>220</v>
      </c>
      <c r="E188" s="20" t="s">
        <v>168</v>
      </c>
      <c r="F188" s="22">
        <v>1</v>
      </c>
      <c r="G188" s="23">
        <v>2340491.6039999998</v>
      </c>
      <c r="H188" s="24">
        <f>ROUND(F188*G188,0)</f>
        <v>2340492</v>
      </c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</row>
    <row r="189" spans="1:19" s="38" customFormat="1" ht="47.25" hidden="1" x14ac:dyDescent="0.2">
      <c r="A189" s="25"/>
      <c r="B189" s="7" t="s">
        <v>203</v>
      </c>
      <c r="C189" s="20" t="s">
        <v>221</v>
      </c>
      <c r="D189" s="21" t="s">
        <v>22</v>
      </c>
      <c r="E189" s="20" t="s">
        <v>23</v>
      </c>
      <c r="F189" s="22">
        <v>1.2</v>
      </c>
      <c r="G189" s="23">
        <v>27462.611999999997</v>
      </c>
      <c r="H189" s="24">
        <f>ROUND(F189*G189,0)</f>
        <v>32955</v>
      </c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</row>
    <row r="190" spans="1:19" s="38" customFormat="1" ht="47.25" hidden="1" x14ac:dyDescent="0.2">
      <c r="A190" s="25"/>
      <c r="B190" s="7" t="s">
        <v>203</v>
      </c>
      <c r="C190" s="20" t="s">
        <v>222</v>
      </c>
      <c r="D190" s="21" t="s">
        <v>153</v>
      </c>
      <c r="E190" s="20" t="s">
        <v>23</v>
      </c>
      <c r="F190" s="22">
        <v>1.26</v>
      </c>
      <c r="G190" s="23">
        <v>5493.66</v>
      </c>
      <c r="H190" s="24">
        <f>ROUND(F190*G190,0)</f>
        <v>6922</v>
      </c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</row>
    <row r="191" spans="1:19" s="38" customFormat="1" ht="47.25" hidden="1" x14ac:dyDescent="0.2">
      <c r="A191" s="25"/>
      <c r="B191" s="7" t="s">
        <v>203</v>
      </c>
      <c r="C191" s="20" t="s">
        <v>223</v>
      </c>
      <c r="D191" s="21" t="s">
        <v>37</v>
      </c>
      <c r="E191" s="20" t="s">
        <v>38</v>
      </c>
      <c r="F191" s="22">
        <v>51.29</v>
      </c>
      <c r="G191" s="23">
        <v>1598.328</v>
      </c>
      <c r="H191" s="24">
        <f>ROUND(F191*G191,0)</f>
        <v>81978</v>
      </c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</row>
    <row r="192" spans="1:19" s="38" customFormat="1" ht="47.25" hidden="1" x14ac:dyDescent="0.2">
      <c r="A192" s="25"/>
      <c r="B192" s="7" t="s">
        <v>203</v>
      </c>
      <c r="C192" s="20" t="s">
        <v>224</v>
      </c>
      <c r="D192" s="21" t="s">
        <v>225</v>
      </c>
      <c r="E192" s="20" t="s">
        <v>23</v>
      </c>
      <c r="F192" s="22">
        <v>1.2</v>
      </c>
      <c r="G192" s="23">
        <v>553890.804</v>
      </c>
      <c r="H192" s="24">
        <f>ROUND(F192*G192,0)</f>
        <v>664669</v>
      </c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</row>
    <row r="193" spans="1:19" s="38" customFormat="1" ht="47.25" hidden="1" x14ac:dyDescent="0.2">
      <c r="A193" s="25"/>
      <c r="B193" s="7" t="s">
        <v>203</v>
      </c>
      <c r="C193" s="20" t="s">
        <v>226</v>
      </c>
      <c r="D193" s="21" t="s">
        <v>214</v>
      </c>
      <c r="E193" s="20" t="s">
        <v>48</v>
      </c>
      <c r="F193" s="22">
        <v>83.33</v>
      </c>
      <c r="G193" s="23">
        <v>6597.1319999999996</v>
      </c>
      <c r="H193" s="24">
        <f>ROUND(F193*G193,0)</f>
        <v>549739</v>
      </c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</row>
    <row r="194" spans="1:19" s="30" customFormat="1" ht="47.25" hidden="1" x14ac:dyDescent="0.2">
      <c r="A194" s="28"/>
      <c r="B194" s="7" t="s">
        <v>203</v>
      </c>
      <c r="C194" s="13">
        <v>1.5</v>
      </c>
      <c r="D194" s="12" t="s">
        <v>227</v>
      </c>
      <c r="E194" s="15"/>
      <c r="F194" s="16"/>
      <c r="G194" s="16"/>
      <c r="H194" s="17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</row>
    <row r="195" spans="1:19" s="38" customFormat="1" ht="47.25" hidden="1" x14ac:dyDescent="0.2">
      <c r="A195" s="25"/>
      <c r="B195" s="7" t="s">
        <v>203</v>
      </c>
      <c r="C195" s="20" t="s">
        <v>228</v>
      </c>
      <c r="D195" s="21" t="s">
        <v>229</v>
      </c>
      <c r="E195" s="20" t="s">
        <v>23</v>
      </c>
      <c r="F195" s="22">
        <v>7.99</v>
      </c>
      <c r="G195" s="23">
        <v>6763.98</v>
      </c>
      <c r="H195" s="24">
        <f>ROUND(F195*G195,0)</f>
        <v>54044</v>
      </c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</row>
    <row r="196" spans="1:19" s="38" customFormat="1" ht="47.25" hidden="1" x14ac:dyDescent="0.2">
      <c r="A196" s="25"/>
      <c r="B196" s="7" t="s">
        <v>203</v>
      </c>
      <c r="C196" s="20" t="s">
        <v>230</v>
      </c>
      <c r="D196" s="21" t="s">
        <v>231</v>
      </c>
      <c r="E196" s="20" t="s">
        <v>23</v>
      </c>
      <c r="F196" s="22">
        <v>8</v>
      </c>
      <c r="G196" s="23">
        <v>10328.459999999999</v>
      </c>
      <c r="H196" s="24">
        <f>ROUND(F196*G196,0)</f>
        <v>82628</v>
      </c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</row>
    <row r="197" spans="1:19" s="38" customFormat="1" ht="47.25" hidden="1" x14ac:dyDescent="0.2">
      <c r="A197" s="25"/>
      <c r="B197" s="7" t="s">
        <v>203</v>
      </c>
      <c r="C197" s="20" t="s">
        <v>232</v>
      </c>
      <c r="D197" s="21" t="s">
        <v>37</v>
      </c>
      <c r="E197" s="20" t="s">
        <v>38</v>
      </c>
      <c r="F197" s="22">
        <v>325.60000000000002</v>
      </c>
      <c r="G197" s="23">
        <v>1598.328</v>
      </c>
      <c r="H197" s="24">
        <f>ROUND(F197*G197,0)</f>
        <v>520416</v>
      </c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</row>
    <row r="198" spans="1:19" s="38" customFormat="1" ht="47.25" hidden="1" x14ac:dyDescent="0.2">
      <c r="A198" s="25"/>
      <c r="B198" s="7" t="s">
        <v>203</v>
      </c>
      <c r="C198" s="20" t="s">
        <v>233</v>
      </c>
      <c r="D198" s="21" t="s">
        <v>225</v>
      </c>
      <c r="E198" s="20" t="s">
        <v>23</v>
      </c>
      <c r="F198" s="22">
        <v>7.99</v>
      </c>
      <c r="G198" s="23">
        <v>553890.804</v>
      </c>
      <c r="H198" s="24">
        <f>ROUND(F198*G198,0)</f>
        <v>4425588</v>
      </c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</row>
    <row r="199" spans="1:19" s="38" customFormat="1" ht="47.25" hidden="1" x14ac:dyDescent="0.2">
      <c r="A199" s="25"/>
      <c r="B199" s="7" t="s">
        <v>203</v>
      </c>
      <c r="C199" s="20" t="s">
        <v>234</v>
      </c>
      <c r="D199" s="21" t="s">
        <v>214</v>
      </c>
      <c r="E199" s="20" t="s">
        <v>48</v>
      </c>
      <c r="F199" s="22">
        <v>354.45</v>
      </c>
      <c r="G199" s="23">
        <v>6597.1319999999996</v>
      </c>
      <c r="H199" s="24">
        <f>ROUND(F199*G199,0)</f>
        <v>2338353</v>
      </c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</row>
    <row r="200" spans="1:19" s="38" customFormat="1" ht="47.25" hidden="1" x14ac:dyDescent="0.2">
      <c r="A200" s="25"/>
      <c r="B200" s="7" t="s">
        <v>203</v>
      </c>
      <c r="C200" s="20" t="s">
        <v>235</v>
      </c>
      <c r="D200" s="21" t="s">
        <v>170</v>
      </c>
      <c r="E200" s="20" t="s">
        <v>48</v>
      </c>
      <c r="F200" s="22">
        <v>1193.5999999999999</v>
      </c>
      <c r="G200" s="23">
        <v>18429.12</v>
      </c>
      <c r="H200" s="24">
        <f>ROUND(F200*G200,0)</f>
        <v>21996998</v>
      </c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</row>
    <row r="201" spans="1:19" s="38" customFormat="1" ht="71.25" hidden="1" x14ac:dyDescent="0.2">
      <c r="A201" s="25"/>
      <c r="B201" s="7" t="s">
        <v>203</v>
      </c>
      <c r="C201" s="20" t="s">
        <v>236</v>
      </c>
      <c r="D201" s="21" t="s">
        <v>169</v>
      </c>
      <c r="E201" s="20" t="s">
        <v>13</v>
      </c>
      <c r="F201" s="22">
        <v>1738.53</v>
      </c>
      <c r="G201" s="23">
        <v>27492</v>
      </c>
      <c r="H201" s="24">
        <f>ROUND(F201*G201,0)</f>
        <v>47795667</v>
      </c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</row>
    <row r="202" spans="1:19" s="38" customFormat="1" ht="47.25" hidden="1" x14ac:dyDescent="0.2">
      <c r="A202" s="25"/>
      <c r="B202" s="7" t="s">
        <v>203</v>
      </c>
      <c r="C202" s="20" t="s">
        <v>237</v>
      </c>
      <c r="D202" s="21" t="s">
        <v>238</v>
      </c>
      <c r="E202" s="20" t="s">
        <v>19</v>
      </c>
      <c r="F202" s="22">
        <v>2</v>
      </c>
      <c r="G202" s="23">
        <v>733219.22399999993</v>
      </c>
      <c r="H202" s="24">
        <f>ROUND(F202*G202,0)</f>
        <v>1466438</v>
      </c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</row>
    <row r="203" spans="1:19" s="30" customFormat="1" ht="47.25" hidden="1" x14ac:dyDescent="0.2">
      <c r="A203" s="28"/>
      <c r="B203" s="7" t="s">
        <v>203</v>
      </c>
      <c r="C203" s="11">
        <v>2</v>
      </c>
      <c r="D203" s="12" t="s">
        <v>239</v>
      </c>
      <c r="E203" s="31"/>
      <c r="F203" s="31"/>
      <c r="G203" s="31"/>
      <c r="H203" s="31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</row>
    <row r="204" spans="1:19" s="30" customFormat="1" ht="47.25" hidden="1" x14ac:dyDescent="0.2">
      <c r="A204" s="28"/>
      <c r="B204" s="7" t="s">
        <v>203</v>
      </c>
      <c r="C204" s="13">
        <v>2.1</v>
      </c>
      <c r="D204" s="12" t="s">
        <v>10</v>
      </c>
      <c r="E204" s="15"/>
      <c r="F204" s="16"/>
      <c r="G204" s="16"/>
      <c r="H204" s="17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</row>
    <row r="205" spans="1:19" s="38" customFormat="1" ht="47.25" hidden="1" x14ac:dyDescent="0.2">
      <c r="A205" s="25"/>
      <c r="B205" s="7" t="s">
        <v>203</v>
      </c>
      <c r="C205" s="20" t="s">
        <v>65</v>
      </c>
      <c r="D205" s="21" t="s">
        <v>240</v>
      </c>
      <c r="E205" s="20" t="s">
        <v>13</v>
      </c>
      <c r="F205" s="22">
        <v>286.73</v>
      </c>
      <c r="G205" s="23">
        <v>2663.8799999999997</v>
      </c>
      <c r="H205" s="24">
        <f>ROUND(F205*G205,0)</f>
        <v>763814</v>
      </c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</row>
    <row r="206" spans="1:19" s="38" customFormat="1" ht="47.25" hidden="1" x14ac:dyDescent="0.2">
      <c r="A206" s="25"/>
      <c r="B206" s="7" t="s">
        <v>203</v>
      </c>
      <c r="C206" s="20" t="s">
        <v>67</v>
      </c>
      <c r="D206" s="21" t="s">
        <v>241</v>
      </c>
      <c r="E206" s="20" t="s">
        <v>13</v>
      </c>
      <c r="F206" s="22">
        <v>39.380000000000003</v>
      </c>
      <c r="G206" s="23">
        <v>5709.8040000000001</v>
      </c>
      <c r="H206" s="24">
        <f>ROUND(F206*G206,0)</f>
        <v>224852</v>
      </c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</row>
    <row r="207" spans="1:19" s="38" customFormat="1" ht="47.25" hidden="1" x14ac:dyDescent="0.2">
      <c r="A207" s="25"/>
      <c r="B207" s="7" t="s">
        <v>203</v>
      </c>
      <c r="C207" s="20" t="s">
        <v>242</v>
      </c>
      <c r="D207" s="21" t="s">
        <v>153</v>
      </c>
      <c r="E207" s="20" t="s">
        <v>23</v>
      </c>
      <c r="F207" s="22">
        <v>8.27</v>
      </c>
      <c r="G207" s="23">
        <v>5493.66</v>
      </c>
      <c r="H207" s="24">
        <f>ROUND(F207*G207,0)</f>
        <v>45433</v>
      </c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</row>
    <row r="208" spans="1:19" s="38" customFormat="1" ht="47.25" hidden="1" x14ac:dyDescent="0.2">
      <c r="A208" s="25"/>
      <c r="B208" s="7" t="s">
        <v>203</v>
      </c>
      <c r="C208" s="20" t="s">
        <v>243</v>
      </c>
      <c r="D208" s="21" t="s">
        <v>37</v>
      </c>
      <c r="E208" s="20" t="s">
        <v>38</v>
      </c>
      <c r="F208" s="22">
        <v>336.59</v>
      </c>
      <c r="G208" s="23">
        <v>1598.328</v>
      </c>
      <c r="H208" s="24">
        <f>ROUND(F208*G208,0)</f>
        <v>537981</v>
      </c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</row>
    <row r="209" spans="1:19" s="30" customFormat="1" ht="47.25" hidden="1" x14ac:dyDescent="0.2">
      <c r="A209" s="28"/>
      <c r="B209" s="7" t="s">
        <v>203</v>
      </c>
      <c r="C209" s="13">
        <v>2.2000000000000002</v>
      </c>
      <c r="D209" s="12" t="s">
        <v>208</v>
      </c>
      <c r="E209" s="15"/>
      <c r="F209" s="16"/>
      <c r="G209" s="16"/>
      <c r="H209" s="17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</row>
    <row r="210" spans="1:19" s="38" customFormat="1" ht="47.25" hidden="1" x14ac:dyDescent="0.2">
      <c r="A210" s="25"/>
      <c r="B210" s="7" t="s">
        <v>203</v>
      </c>
      <c r="C210" s="20" t="s">
        <v>70</v>
      </c>
      <c r="D210" s="21" t="s">
        <v>244</v>
      </c>
      <c r="E210" s="20" t="s">
        <v>13</v>
      </c>
      <c r="F210" s="22">
        <v>247.35</v>
      </c>
      <c r="G210" s="23">
        <v>574.48799999999994</v>
      </c>
      <c r="H210" s="24">
        <f>ROUND(F210*G210,0)</f>
        <v>142100</v>
      </c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</row>
    <row r="211" spans="1:19" s="38" customFormat="1" ht="47.25" hidden="1" x14ac:dyDescent="0.2">
      <c r="A211" s="25"/>
      <c r="B211" s="7" t="s">
        <v>203</v>
      </c>
      <c r="C211" s="20" t="s">
        <v>72</v>
      </c>
      <c r="D211" s="21" t="s">
        <v>210</v>
      </c>
      <c r="E211" s="20" t="s">
        <v>23</v>
      </c>
      <c r="F211" s="22">
        <v>98.94</v>
      </c>
      <c r="G211" s="23">
        <v>6763.98</v>
      </c>
      <c r="H211" s="24">
        <f>ROUND(F211*G211,0)</f>
        <v>669228</v>
      </c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</row>
    <row r="212" spans="1:19" s="38" customFormat="1" ht="47.25" hidden="1" x14ac:dyDescent="0.2">
      <c r="A212" s="25"/>
      <c r="B212" s="7" t="s">
        <v>203</v>
      </c>
      <c r="C212" s="20" t="s">
        <v>74</v>
      </c>
      <c r="D212" s="21" t="s">
        <v>153</v>
      </c>
      <c r="E212" s="20" t="s">
        <v>23</v>
      </c>
      <c r="F212" s="22">
        <v>103.89</v>
      </c>
      <c r="G212" s="23">
        <v>5493.66</v>
      </c>
      <c r="H212" s="24">
        <f>ROUND(F212*G212,0)</f>
        <v>570736</v>
      </c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</row>
    <row r="213" spans="1:19" s="38" customFormat="1" ht="47.25" hidden="1" x14ac:dyDescent="0.2">
      <c r="A213" s="25"/>
      <c r="B213" s="7" t="s">
        <v>203</v>
      </c>
      <c r="C213" s="20" t="s">
        <v>245</v>
      </c>
      <c r="D213" s="21" t="s">
        <v>37</v>
      </c>
      <c r="E213" s="20" t="s">
        <v>38</v>
      </c>
      <c r="F213" s="22">
        <v>4228.33</v>
      </c>
      <c r="G213" s="23">
        <v>1598.328</v>
      </c>
      <c r="H213" s="24">
        <f>ROUND(F213*G213,0)</f>
        <v>6758258</v>
      </c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</row>
    <row r="214" spans="1:19" s="38" customFormat="1" ht="47.25" hidden="1" x14ac:dyDescent="0.2">
      <c r="A214" s="25"/>
      <c r="B214" s="7" t="s">
        <v>203</v>
      </c>
      <c r="C214" s="20" t="s">
        <v>246</v>
      </c>
      <c r="D214" s="21" t="s">
        <v>35</v>
      </c>
      <c r="E214" s="20" t="s">
        <v>13</v>
      </c>
      <c r="F214" s="22">
        <v>286.73</v>
      </c>
      <c r="G214" s="23">
        <v>1437.1679999999999</v>
      </c>
      <c r="H214" s="24">
        <f>ROUND(F214*G214,0)</f>
        <v>412079</v>
      </c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</row>
    <row r="215" spans="1:19" s="38" customFormat="1" ht="47.25" hidden="1" x14ac:dyDescent="0.2">
      <c r="A215" s="25"/>
      <c r="B215" s="7" t="s">
        <v>203</v>
      </c>
      <c r="C215" s="20" t="s">
        <v>247</v>
      </c>
      <c r="D215" s="21" t="s">
        <v>248</v>
      </c>
      <c r="E215" s="20" t="s">
        <v>23</v>
      </c>
      <c r="F215" s="22">
        <v>86.02</v>
      </c>
      <c r="G215" s="23">
        <v>69488.399999999994</v>
      </c>
      <c r="H215" s="24">
        <f>ROUND(F215*G215,0)</f>
        <v>5977392</v>
      </c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</row>
    <row r="216" spans="1:19" s="38" customFormat="1" ht="47.25" hidden="1" x14ac:dyDescent="0.2">
      <c r="A216" s="25"/>
      <c r="B216" s="7" t="s">
        <v>203</v>
      </c>
      <c r="C216" s="20" t="s">
        <v>249</v>
      </c>
      <c r="D216" s="21" t="s">
        <v>250</v>
      </c>
      <c r="E216" s="20" t="s">
        <v>13</v>
      </c>
      <c r="F216" s="22">
        <v>286.73</v>
      </c>
      <c r="G216" s="23">
        <v>10453.596</v>
      </c>
      <c r="H216" s="24">
        <f>ROUND(F216*G216,0)</f>
        <v>2997360</v>
      </c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</row>
    <row r="217" spans="1:19" s="38" customFormat="1" ht="47.25" hidden="1" x14ac:dyDescent="0.2">
      <c r="A217" s="25"/>
      <c r="B217" s="7" t="s">
        <v>203</v>
      </c>
      <c r="C217" s="20" t="s">
        <v>251</v>
      </c>
      <c r="D217" s="21" t="s">
        <v>211</v>
      </c>
      <c r="E217" s="20" t="s">
        <v>38</v>
      </c>
      <c r="F217" s="22">
        <v>3156.94</v>
      </c>
      <c r="G217" s="23">
        <v>1598.328</v>
      </c>
      <c r="H217" s="24">
        <f>ROUND(F217*G217,0)</f>
        <v>5045826</v>
      </c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</row>
    <row r="218" spans="1:19" s="30" customFormat="1" ht="47.25" hidden="1" x14ac:dyDescent="0.2">
      <c r="A218" s="28"/>
      <c r="B218" s="7" t="s">
        <v>203</v>
      </c>
      <c r="C218" s="13">
        <v>2.2999999999999998</v>
      </c>
      <c r="D218" s="12" t="s">
        <v>252</v>
      </c>
      <c r="E218" s="15"/>
      <c r="F218" s="16"/>
      <c r="G218" s="16"/>
      <c r="H218" s="16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</row>
    <row r="219" spans="1:19" s="38" customFormat="1" ht="47.25" hidden="1" x14ac:dyDescent="0.2">
      <c r="A219" s="25"/>
      <c r="B219" s="7" t="s">
        <v>203</v>
      </c>
      <c r="C219" s="20" t="s">
        <v>253</v>
      </c>
      <c r="D219" s="21" t="s">
        <v>254</v>
      </c>
      <c r="E219" s="20" t="s">
        <v>13</v>
      </c>
      <c r="F219" s="22">
        <v>286.73</v>
      </c>
      <c r="G219" s="23">
        <v>95787.815999999992</v>
      </c>
      <c r="H219" s="24">
        <f>ROUND(F219*G219,0)</f>
        <v>27465240</v>
      </c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</row>
    <row r="220" spans="1:19" s="38" customFormat="1" ht="47.25" hidden="1" x14ac:dyDescent="0.2">
      <c r="A220" s="25"/>
      <c r="B220" s="7" t="s">
        <v>203</v>
      </c>
      <c r="C220" s="20" t="s">
        <v>255</v>
      </c>
      <c r="D220" s="21" t="s">
        <v>47</v>
      </c>
      <c r="E220" s="20" t="s">
        <v>48</v>
      </c>
      <c r="F220" s="22">
        <v>1065.76</v>
      </c>
      <c r="G220" s="23">
        <v>7816.2599999999993</v>
      </c>
      <c r="H220" s="24">
        <f>ROUND(F220*G220,0)</f>
        <v>8330257</v>
      </c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</row>
    <row r="221" spans="1:19" s="38" customFormat="1" ht="47.25" hidden="1" x14ac:dyDescent="0.2">
      <c r="A221" s="25"/>
      <c r="B221" s="7" t="s">
        <v>203</v>
      </c>
      <c r="C221" s="20" t="s">
        <v>256</v>
      </c>
      <c r="D221" s="21" t="s">
        <v>213</v>
      </c>
      <c r="E221" s="20" t="s">
        <v>23</v>
      </c>
      <c r="F221" s="22">
        <v>7.31</v>
      </c>
      <c r="G221" s="23">
        <v>840286.34399999992</v>
      </c>
      <c r="H221" s="24">
        <f>ROUND(F221*G221,0)</f>
        <v>6142493</v>
      </c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</row>
    <row r="222" spans="1:19" s="38" customFormat="1" ht="47.25" hidden="1" x14ac:dyDescent="0.2">
      <c r="A222" s="25"/>
      <c r="B222" s="7" t="s">
        <v>203</v>
      </c>
      <c r="C222" s="20" t="s">
        <v>257</v>
      </c>
      <c r="D222" s="21" t="s">
        <v>214</v>
      </c>
      <c r="E222" s="20" t="s">
        <v>48</v>
      </c>
      <c r="F222" s="22">
        <v>660.62</v>
      </c>
      <c r="G222" s="23">
        <v>6597.1319999999996</v>
      </c>
      <c r="H222" s="24">
        <f>ROUND(F222*G222,0)</f>
        <v>4358197</v>
      </c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</row>
    <row r="223" spans="1:19" s="30" customFormat="1" ht="47.25" hidden="1" x14ac:dyDescent="0.2">
      <c r="A223" s="28"/>
      <c r="B223" s="7" t="s">
        <v>203</v>
      </c>
      <c r="C223" s="13">
        <v>2.4</v>
      </c>
      <c r="D223" s="12" t="s">
        <v>258</v>
      </c>
      <c r="E223" s="15"/>
      <c r="F223" s="15"/>
      <c r="G223" s="15"/>
      <c r="H223" s="17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</row>
    <row r="224" spans="1:19" s="38" customFormat="1" ht="47.25" hidden="1" x14ac:dyDescent="0.2">
      <c r="A224" s="25"/>
      <c r="B224" s="7" t="s">
        <v>203</v>
      </c>
      <c r="C224" s="20" t="s">
        <v>259</v>
      </c>
      <c r="D224" s="21" t="s">
        <v>22</v>
      </c>
      <c r="E224" s="20" t="s">
        <v>23</v>
      </c>
      <c r="F224" s="22">
        <v>0.05</v>
      </c>
      <c r="G224" s="23">
        <v>27462.611999999997</v>
      </c>
      <c r="H224" s="24">
        <f>ROUND(F224*G224,0)</f>
        <v>1373</v>
      </c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</row>
    <row r="225" spans="1:19" s="38" customFormat="1" ht="47.25" hidden="1" x14ac:dyDescent="0.2">
      <c r="A225" s="25"/>
      <c r="B225" s="7" t="s">
        <v>203</v>
      </c>
      <c r="C225" s="20" t="s">
        <v>260</v>
      </c>
      <c r="D225" s="21" t="s">
        <v>153</v>
      </c>
      <c r="E225" s="20" t="s">
        <v>23</v>
      </c>
      <c r="F225" s="22">
        <v>0.05</v>
      </c>
      <c r="G225" s="23">
        <v>5493.66</v>
      </c>
      <c r="H225" s="24">
        <f>ROUND(F225*G225,0)</f>
        <v>275</v>
      </c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</row>
    <row r="226" spans="1:19" s="38" customFormat="1" ht="47.25" hidden="1" x14ac:dyDescent="0.2">
      <c r="A226" s="25"/>
      <c r="B226" s="7" t="s">
        <v>203</v>
      </c>
      <c r="C226" s="20" t="s">
        <v>261</v>
      </c>
      <c r="D226" s="21" t="s">
        <v>37</v>
      </c>
      <c r="E226" s="20" t="s">
        <v>38</v>
      </c>
      <c r="F226" s="22">
        <v>2.04</v>
      </c>
      <c r="G226" s="23">
        <v>1598.328</v>
      </c>
      <c r="H226" s="24">
        <f>ROUND(F226*G226,0)</f>
        <v>3261</v>
      </c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</row>
    <row r="227" spans="1:19" s="38" customFormat="1" ht="47.25" hidden="1" x14ac:dyDescent="0.2">
      <c r="A227" s="25"/>
      <c r="B227" s="7" t="s">
        <v>203</v>
      </c>
      <c r="C227" s="20" t="s">
        <v>262</v>
      </c>
      <c r="D227" s="21" t="s">
        <v>263</v>
      </c>
      <c r="E227" s="20" t="s">
        <v>23</v>
      </c>
      <c r="F227" s="22">
        <v>0.05</v>
      </c>
      <c r="G227" s="23">
        <v>885693.64799999993</v>
      </c>
      <c r="H227" s="24">
        <f>ROUND(F227*G227,0)</f>
        <v>44285</v>
      </c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</row>
    <row r="228" spans="1:19" s="38" customFormat="1" ht="47.25" hidden="1" x14ac:dyDescent="0.2">
      <c r="A228" s="25"/>
      <c r="B228" s="7" t="s">
        <v>203</v>
      </c>
      <c r="C228" s="20" t="s">
        <v>264</v>
      </c>
      <c r="D228" s="21" t="s">
        <v>214</v>
      </c>
      <c r="E228" s="20" t="s">
        <v>48</v>
      </c>
      <c r="F228" s="22">
        <v>27.27</v>
      </c>
      <c r="G228" s="23">
        <v>6597.1319999999996</v>
      </c>
      <c r="H228" s="24">
        <f>ROUND(F228*G228,0)</f>
        <v>179904</v>
      </c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</row>
    <row r="229" spans="1:19" s="38" customFormat="1" ht="47.25" hidden="1" x14ac:dyDescent="0.2">
      <c r="A229" s="25"/>
      <c r="B229" s="7" t="s">
        <v>203</v>
      </c>
      <c r="C229" s="20" t="s">
        <v>265</v>
      </c>
      <c r="D229" s="21" t="s">
        <v>266</v>
      </c>
      <c r="E229" s="20" t="s">
        <v>19</v>
      </c>
      <c r="F229" s="22">
        <v>4</v>
      </c>
      <c r="G229" s="23">
        <v>1180388.9279999998</v>
      </c>
      <c r="H229" s="24">
        <f>ROUND(F229*G229,0)</f>
        <v>4721556</v>
      </c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</row>
    <row r="230" spans="1:19" s="30" customFormat="1" ht="47.25" hidden="1" x14ac:dyDescent="0.2">
      <c r="A230" s="28"/>
      <c r="B230" s="7" t="s">
        <v>203</v>
      </c>
      <c r="C230" s="13">
        <v>2.5</v>
      </c>
      <c r="D230" s="12" t="s">
        <v>267</v>
      </c>
      <c r="E230" s="15"/>
      <c r="F230" s="16"/>
      <c r="G230" s="16"/>
      <c r="H230" s="16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</row>
    <row r="231" spans="1:19" s="38" customFormat="1" ht="47.25" hidden="1" x14ac:dyDescent="0.2">
      <c r="A231" s="25"/>
      <c r="B231" s="7" t="s">
        <v>203</v>
      </c>
      <c r="C231" s="20" t="s">
        <v>268</v>
      </c>
      <c r="D231" s="21" t="s">
        <v>269</v>
      </c>
      <c r="E231" s="20" t="s">
        <v>23</v>
      </c>
      <c r="F231" s="22">
        <v>101.35</v>
      </c>
      <c r="G231" s="23">
        <v>113205.42</v>
      </c>
      <c r="H231" s="24">
        <f>ROUND(F231*G231,0)</f>
        <v>11473369</v>
      </c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</row>
    <row r="232" spans="1:19" s="38" customFormat="1" ht="47.25" hidden="1" x14ac:dyDescent="0.2">
      <c r="A232" s="25"/>
      <c r="B232" s="7" t="s">
        <v>203</v>
      </c>
      <c r="C232" s="20" t="s">
        <v>270</v>
      </c>
      <c r="D232" s="21" t="s">
        <v>185</v>
      </c>
      <c r="E232" s="20" t="s">
        <v>13</v>
      </c>
      <c r="F232" s="22">
        <v>620.20000000000005</v>
      </c>
      <c r="G232" s="23">
        <v>13147.812</v>
      </c>
      <c r="H232" s="24">
        <f>ROUND(F232*G232,0)</f>
        <v>8154273</v>
      </c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</row>
    <row r="233" spans="1:19" s="30" customFormat="1" ht="47.25" hidden="1" x14ac:dyDescent="0.2">
      <c r="A233" s="28"/>
      <c r="B233" s="7" t="s">
        <v>203</v>
      </c>
      <c r="C233" s="11">
        <v>3</v>
      </c>
      <c r="D233" s="12" t="s">
        <v>271</v>
      </c>
      <c r="E233" s="31"/>
      <c r="F233" s="31"/>
      <c r="G233" s="31"/>
      <c r="H233" s="31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</row>
    <row r="234" spans="1:19" s="30" customFormat="1" ht="47.25" hidden="1" x14ac:dyDescent="0.2">
      <c r="A234" s="28"/>
      <c r="B234" s="7" t="s">
        <v>203</v>
      </c>
      <c r="C234" s="13">
        <v>3.1</v>
      </c>
      <c r="D234" s="12" t="s">
        <v>10</v>
      </c>
      <c r="E234" s="15"/>
      <c r="F234" s="16"/>
      <c r="G234" s="16"/>
      <c r="H234" s="17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</row>
    <row r="235" spans="1:19" s="38" customFormat="1" ht="47.25" hidden="1" x14ac:dyDescent="0.2">
      <c r="A235" s="25"/>
      <c r="B235" s="7" t="s">
        <v>203</v>
      </c>
      <c r="C235" s="20" t="s">
        <v>272</v>
      </c>
      <c r="D235" s="21" t="s">
        <v>273</v>
      </c>
      <c r="E235" s="20" t="s">
        <v>16</v>
      </c>
      <c r="F235" s="22">
        <v>117.4</v>
      </c>
      <c r="G235" s="23">
        <v>2160.4919999999997</v>
      </c>
      <c r="H235" s="24">
        <f>ROUND(F235*G235,0)</f>
        <v>253642</v>
      </c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</row>
    <row r="236" spans="1:19" s="30" customFormat="1" ht="47.25" hidden="1" x14ac:dyDescent="0.2">
      <c r="A236" s="28"/>
      <c r="B236" s="7" t="s">
        <v>203</v>
      </c>
      <c r="C236" s="13">
        <v>3.2</v>
      </c>
      <c r="D236" s="12" t="s">
        <v>208</v>
      </c>
      <c r="E236" s="15"/>
      <c r="F236" s="16"/>
      <c r="G236" s="16"/>
      <c r="H236" s="17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</row>
    <row r="237" spans="1:19" s="38" customFormat="1" ht="47.25" hidden="1" x14ac:dyDescent="0.2">
      <c r="A237" s="25"/>
      <c r="B237" s="7" t="s">
        <v>203</v>
      </c>
      <c r="C237" s="20" t="s">
        <v>274</v>
      </c>
      <c r="D237" s="21" t="s">
        <v>22</v>
      </c>
      <c r="E237" s="20" t="s">
        <v>23</v>
      </c>
      <c r="F237" s="22">
        <v>33.229999999999997</v>
      </c>
      <c r="G237" s="23">
        <v>27462.611999999997</v>
      </c>
      <c r="H237" s="24">
        <f>ROUND(F237*G237,0)</f>
        <v>912583</v>
      </c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</row>
    <row r="238" spans="1:19" s="38" customFormat="1" ht="47.25" hidden="1" x14ac:dyDescent="0.2">
      <c r="A238" s="25"/>
      <c r="B238" s="7" t="s">
        <v>203</v>
      </c>
      <c r="C238" s="20" t="s">
        <v>275</v>
      </c>
      <c r="D238" s="21" t="s">
        <v>153</v>
      </c>
      <c r="E238" s="20" t="s">
        <v>23</v>
      </c>
      <c r="F238" s="22">
        <v>33.229999999999997</v>
      </c>
      <c r="G238" s="23">
        <v>5493.66</v>
      </c>
      <c r="H238" s="24">
        <f>ROUND(F238*G238,0)</f>
        <v>182554</v>
      </c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</row>
    <row r="239" spans="1:19" s="38" customFormat="1" ht="47.25" hidden="1" x14ac:dyDescent="0.2">
      <c r="A239" s="25"/>
      <c r="B239" s="7" t="s">
        <v>203</v>
      </c>
      <c r="C239" s="20" t="s">
        <v>276</v>
      </c>
      <c r="D239" s="21" t="s">
        <v>37</v>
      </c>
      <c r="E239" s="20" t="s">
        <v>38</v>
      </c>
      <c r="F239" s="22">
        <v>1352.47</v>
      </c>
      <c r="G239" s="23">
        <v>1598.328</v>
      </c>
      <c r="H239" s="24">
        <f>ROUND(F239*G239,0)</f>
        <v>2161691</v>
      </c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</row>
    <row r="240" spans="1:19" s="38" customFormat="1" ht="47.25" hidden="1" x14ac:dyDescent="0.2">
      <c r="A240" s="25"/>
      <c r="B240" s="7" t="s">
        <v>203</v>
      </c>
      <c r="C240" s="20" t="s">
        <v>277</v>
      </c>
      <c r="D240" s="21" t="s">
        <v>155</v>
      </c>
      <c r="E240" s="20" t="s">
        <v>23</v>
      </c>
      <c r="F240" s="22">
        <v>7.25</v>
      </c>
      <c r="G240" s="23">
        <v>99984.611999999994</v>
      </c>
      <c r="H240" s="24">
        <f>ROUND(F240*G240,0)</f>
        <v>724888</v>
      </c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</row>
    <row r="241" spans="1:19" s="38" customFormat="1" ht="47.25" hidden="1" x14ac:dyDescent="0.2">
      <c r="A241" s="25"/>
      <c r="B241" s="7" t="s">
        <v>203</v>
      </c>
      <c r="C241" s="20" t="s">
        <v>278</v>
      </c>
      <c r="D241" s="21" t="s">
        <v>201</v>
      </c>
      <c r="E241" s="20" t="s">
        <v>23</v>
      </c>
      <c r="F241" s="22">
        <v>1.45</v>
      </c>
      <c r="G241" s="23">
        <v>13300.439999999999</v>
      </c>
      <c r="H241" s="24">
        <f>ROUND(F241*G241,0)</f>
        <v>19286</v>
      </c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</row>
    <row r="242" spans="1:19" s="38" customFormat="1" ht="47.25" hidden="1" x14ac:dyDescent="0.2">
      <c r="A242" s="25"/>
      <c r="B242" s="7" t="s">
        <v>203</v>
      </c>
      <c r="C242" s="20" t="s">
        <v>279</v>
      </c>
      <c r="D242" s="21" t="s">
        <v>155</v>
      </c>
      <c r="E242" s="20" t="s">
        <v>23</v>
      </c>
      <c r="F242" s="22">
        <v>18.75</v>
      </c>
      <c r="G242" s="23">
        <v>99984.611999999994</v>
      </c>
      <c r="H242" s="24">
        <f>ROUND(F242*G242,0)</f>
        <v>1874711</v>
      </c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</row>
    <row r="243" spans="1:19" s="38" customFormat="1" ht="47.25" hidden="1" x14ac:dyDescent="0.2">
      <c r="A243" s="25"/>
      <c r="B243" s="7" t="s">
        <v>203</v>
      </c>
      <c r="C243" s="20" t="s">
        <v>280</v>
      </c>
      <c r="D243" s="21" t="s">
        <v>211</v>
      </c>
      <c r="E243" s="20" t="s">
        <v>38</v>
      </c>
      <c r="F243" s="22">
        <v>153.72</v>
      </c>
      <c r="G243" s="23">
        <v>1598.328</v>
      </c>
      <c r="H243" s="24">
        <f>ROUND(F243*G243,0)</f>
        <v>245695</v>
      </c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</row>
    <row r="244" spans="1:19" s="30" customFormat="1" ht="47.25" hidden="1" x14ac:dyDescent="0.2">
      <c r="A244" s="28"/>
      <c r="B244" s="7" t="s">
        <v>203</v>
      </c>
      <c r="C244" s="13">
        <v>3.3</v>
      </c>
      <c r="D244" s="12" t="s">
        <v>281</v>
      </c>
      <c r="E244" s="15"/>
      <c r="F244" s="16"/>
      <c r="G244" s="16"/>
      <c r="H244" s="17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</row>
    <row r="245" spans="1:19" s="38" customFormat="1" ht="47.25" hidden="1" x14ac:dyDescent="0.2">
      <c r="A245" s="25"/>
      <c r="B245" s="7" t="s">
        <v>203</v>
      </c>
      <c r="C245" s="20" t="s">
        <v>282</v>
      </c>
      <c r="D245" s="21" t="s">
        <v>283</v>
      </c>
      <c r="E245" s="20" t="s">
        <v>19</v>
      </c>
      <c r="F245" s="22">
        <v>1</v>
      </c>
      <c r="G245" s="23">
        <v>333836.304</v>
      </c>
      <c r="H245" s="24">
        <f>ROUND(F245*G245,0)</f>
        <v>333836</v>
      </c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</row>
    <row r="246" spans="1:19" s="38" customFormat="1" ht="47.25" hidden="1" x14ac:dyDescent="0.2">
      <c r="A246" s="25"/>
      <c r="B246" s="7" t="s">
        <v>203</v>
      </c>
      <c r="C246" s="20" t="s">
        <v>284</v>
      </c>
      <c r="D246" s="21" t="s">
        <v>285</v>
      </c>
      <c r="E246" s="20" t="s">
        <v>19</v>
      </c>
      <c r="F246" s="22">
        <v>1</v>
      </c>
      <c r="G246" s="23">
        <v>238089.25199999998</v>
      </c>
      <c r="H246" s="24">
        <f>ROUND(F246*G246,0)</f>
        <v>238089</v>
      </c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</row>
    <row r="247" spans="1:19" s="38" customFormat="1" ht="47.25" hidden="1" x14ac:dyDescent="0.2">
      <c r="A247" s="25"/>
      <c r="B247" s="7" t="s">
        <v>203</v>
      </c>
      <c r="C247" s="20" t="s">
        <v>286</v>
      </c>
      <c r="D247" s="21" t="s">
        <v>287</v>
      </c>
      <c r="E247" s="20" t="s">
        <v>16</v>
      </c>
      <c r="F247" s="22">
        <v>29</v>
      </c>
      <c r="G247" s="23">
        <v>89466.551999999996</v>
      </c>
      <c r="H247" s="24">
        <f>ROUND(F247*G247,0)</f>
        <v>2594530</v>
      </c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</row>
    <row r="248" spans="1:19" s="38" customFormat="1" ht="47.25" hidden="1" x14ac:dyDescent="0.2">
      <c r="A248" s="25"/>
      <c r="B248" s="7" t="s">
        <v>203</v>
      </c>
      <c r="C248" s="20" t="s">
        <v>288</v>
      </c>
      <c r="D248" s="21" t="s">
        <v>289</v>
      </c>
      <c r="E248" s="20" t="s">
        <v>19</v>
      </c>
      <c r="F248" s="22">
        <v>1</v>
      </c>
      <c r="G248" s="23">
        <v>172885.81200000001</v>
      </c>
      <c r="H248" s="24">
        <f>ROUND(F248*G248,0)</f>
        <v>172886</v>
      </c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</row>
    <row r="249" spans="1:19" s="38" customFormat="1" ht="47.25" hidden="1" x14ac:dyDescent="0.2">
      <c r="A249" s="25"/>
      <c r="B249" s="7" t="s">
        <v>203</v>
      </c>
      <c r="C249" s="20" t="s">
        <v>290</v>
      </c>
      <c r="D249" s="21" t="s">
        <v>291</v>
      </c>
      <c r="E249" s="20" t="s">
        <v>16</v>
      </c>
      <c r="F249" s="22">
        <v>15</v>
      </c>
      <c r="G249" s="23">
        <v>92958.035999999993</v>
      </c>
      <c r="H249" s="24">
        <f>ROUND(F249*G249,0)</f>
        <v>1394371</v>
      </c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</row>
    <row r="250" spans="1:19" s="38" customFormat="1" ht="47.25" hidden="1" x14ac:dyDescent="0.2">
      <c r="A250" s="25"/>
      <c r="B250" s="7" t="s">
        <v>203</v>
      </c>
      <c r="C250" s="20" t="s">
        <v>292</v>
      </c>
      <c r="D250" s="21" t="s">
        <v>157</v>
      </c>
      <c r="E250" s="20" t="s">
        <v>13</v>
      </c>
      <c r="F250" s="22">
        <v>92.5</v>
      </c>
      <c r="G250" s="23">
        <v>10586.315999999999</v>
      </c>
      <c r="H250" s="24">
        <f>ROUND(F250*G250,0)</f>
        <v>979234</v>
      </c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</row>
    <row r="251" spans="1:19" s="30" customFormat="1" ht="47.25" hidden="1" x14ac:dyDescent="0.2">
      <c r="A251" s="28"/>
      <c r="B251" s="7" t="s">
        <v>203</v>
      </c>
      <c r="C251" s="13">
        <v>3.4</v>
      </c>
      <c r="D251" s="12" t="s">
        <v>293</v>
      </c>
      <c r="E251" s="15"/>
      <c r="F251" s="16"/>
      <c r="G251" s="16"/>
      <c r="H251" s="17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</row>
    <row r="252" spans="1:19" s="38" customFormat="1" ht="47.25" hidden="1" x14ac:dyDescent="0.2">
      <c r="A252" s="25"/>
      <c r="B252" s="7" t="s">
        <v>203</v>
      </c>
      <c r="C252" s="20" t="s">
        <v>294</v>
      </c>
      <c r="D252" s="21" t="s">
        <v>66</v>
      </c>
      <c r="E252" s="20" t="s">
        <v>23</v>
      </c>
      <c r="F252" s="22">
        <v>10.72</v>
      </c>
      <c r="G252" s="23">
        <v>1101076.4039999999</v>
      </c>
      <c r="H252" s="24">
        <f>ROUND(F252*G252,0)</f>
        <v>11803539</v>
      </c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</row>
    <row r="253" spans="1:19" s="38" customFormat="1" ht="47.25" hidden="1" x14ac:dyDescent="0.2">
      <c r="A253" s="25"/>
      <c r="B253" s="7" t="s">
        <v>203</v>
      </c>
      <c r="C253" s="20" t="s">
        <v>295</v>
      </c>
      <c r="D253" s="21" t="s">
        <v>68</v>
      </c>
      <c r="E253" s="20" t="s">
        <v>19</v>
      </c>
      <c r="F253" s="22">
        <v>146.80000000000001</v>
      </c>
      <c r="G253" s="23">
        <v>53765.82</v>
      </c>
      <c r="H253" s="24">
        <f>ROUND(F253*G253,0)</f>
        <v>7892822</v>
      </c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</row>
    <row r="254" spans="1:19" s="30" customFormat="1" ht="47.25" hidden="1" x14ac:dyDescent="0.2">
      <c r="A254" s="28"/>
      <c r="B254" s="7" t="s">
        <v>203</v>
      </c>
      <c r="C254" s="11">
        <v>4</v>
      </c>
      <c r="D254" s="12" t="s">
        <v>296</v>
      </c>
      <c r="E254" s="31"/>
      <c r="F254" s="31"/>
      <c r="G254" s="31"/>
      <c r="H254" s="31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</row>
    <row r="255" spans="1:19" s="30" customFormat="1" ht="47.25" hidden="1" x14ac:dyDescent="0.2">
      <c r="A255" s="28"/>
      <c r="B255" s="7" t="s">
        <v>203</v>
      </c>
      <c r="C255" s="11">
        <v>4.0999999999999996</v>
      </c>
      <c r="D255" s="12" t="s">
        <v>297</v>
      </c>
      <c r="E255" s="31"/>
      <c r="F255" s="31"/>
      <c r="G255" s="31"/>
      <c r="H255" s="31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</row>
    <row r="256" spans="1:19" s="30" customFormat="1" ht="47.25" hidden="1" x14ac:dyDescent="0.2">
      <c r="A256" s="28"/>
      <c r="B256" s="7" t="s">
        <v>203</v>
      </c>
      <c r="C256" s="39" t="s">
        <v>80</v>
      </c>
      <c r="D256" s="12" t="s">
        <v>298</v>
      </c>
      <c r="E256" s="15"/>
      <c r="F256" s="16"/>
      <c r="G256" s="16"/>
      <c r="H256" s="17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</row>
    <row r="257" spans="1:19" s="38" customFormat="1" ht="47.25" hidden="1" x14ac:dyDescent="0.2">
      <c r="A257" s="25"/>
      <c r="B257" s="7" t="s">
        <v>203</v>
      </c>
      <c r="C257" s="20" t="s">
        <v>299</v>
      </c>
      <c r="D257" s="21" t="s">
        <v>300</v>
      </c>
      <c r="E257" s="20" t="s">
        <v>19</v>
      </c>
      <c r="F257" s="22">
        <v>4</v>
      </c>
      <c r="G257" s="23">
        <v>63291.324000000001</v>
      </c>
      <c r="H257" s="24">
        <f>ROUND(F257*G257,0)</f>
        <v>253165</v>
      </c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</row>
    <row r="258" spans="1:19" s="38" customFormat="1" ht="47.25" hidden="1" x14ac:dyDescent="0.2">
      <c r="A258" s="25"/>
      <c r="B258" s="7" t="s">
        <v>203</v>
      </c>
      <c r="C258" s="20" t="s">
        <v>301</v>
      </c>
      <c r="D258" s="21" t="s">
        <v>302</v>
      </c>
      <c r="E258" s="20" t="s">
        <v>19</v>
      </c>
      <c r="F258" s="22">
        <v>4</v>
      </c>
      <c r="G258" s="23">
        <v>1520136.96</v>
      </c>
      <c r="H258" s="24">
        <f>ROUND(F258*G258,0)</f>
        <v>6080548</v>
      </c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</row>
    <row r="259" spans="1:19" s="38" customFormat="1" ht="47.25" hidden="1" x14ac:dyDescent="0.2">
      <c r="A259" s="25"/>
      <c r="B259" s="7" t="s">
        <v>203</v>
      </c>
      <c r="C259" s="20" t="s">
        <v>303</v>
      </c>
      <c r="D259" s="21" t="s">
        <v>304</v>
      </c>
      <c r="E259" s="20" t="s">
        <v>19</v>
      </c>
      <c r="F259" s="22">
        <v>4</v>
      </c>
      <c r="G259" s="23">
        <v>106297.344</v>
      </c>
      <c r="H259" s="24">
        <f>ROUND(F259*G259,0)</f>
        <v>425189</v>
      </c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</row>
    <row r="260" spans="1:19" s="38" customFormat="1" ht="47.25" hidden="1" x14ac:dyDescent="0.2">
      <c r="A260" s="25"/>
      <c r="B260" s="7" t="s">
        <v>203</v>
      </c>
      <c r="C260" s="20" t="s">
        <v>305</v>
      </c>
      <c r="D260" s="21" t="s">
        <v>306</v>
      </c>
      <c r="E260" s="20" t="s">
        <v>19</v>
      </c>
      <c r="F260" s="22">
        <v>2</v>
      </c>
      <c r="G260" s="23">
        <v>409549.272</v>
      </c>
      <c r="H260" s="24">
        <f>ROUND(F260*G260,0)</f>
        <v>819099</v>
      </c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</row>
    <row r="261" spans="1:19" s="38" customFormat="1" ht="47.25" hidden="1" x14ac:dyDescent="0.2">
      <c r="A261" s="25"/>
      <c r="B261" s="7" t="s">
        <v>203</v>
      </c>
      <c r="C261" s="20" t="s">
        <v>307</v>
      </c>
      <c r="D261" s="21" t="s">
        <v>308</v>
      </c>
      <c r="E261" s="20" t="s">
        <v>19</v>
      </c>
      <c r="F261" s="22">
        <v>1</v>
      </c>
      <c r="G261" s="23">
        <v>1195684.9080000001</v>
      </c>
      <c r="H261" s="24">
        <f>ROUND(F261*G261,0)</f>
        <v>1195685</v>
      </c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</row>
    <row r="262" spans="1:19" s="38" customFormat="1" ht="47.25" hidden="1" x14ac:dyDescent="0.2">
      <c r="A262" s="25"/>
      <c r="B262" s="7" t="s">
        <v>203</v>
      </c>
      <c r="C262" s="20" t="s">
        <v>309</v>
      </c>
      <c r="D262" s="21" t="s">
        <v>310</v>
      </c>
      <c r="E262" s="20" t="s">
        <v>19</v>
      </c>
      <c r="F262" s="22">
        <v>11</v>
      </c>
      <c r="G262" s="23">
        <v>858895.58399999992</v>
      </c>
      <c r="H262" s="24">
        <f>ROUND(F262*G262,0)</f>
        <v>9447851</v>
      </c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</row>
    <row r="263" spans="1:19" s="38" customFormat="1" ht="47.25" hidden="1" x14ac:dyDescent="0.2">
      <c r="A263" s="25"/>
      <c r="B263" s="7" t="s">
        <v>203</v>
      </c>
      <c r="C263" s="20" t="s">
        <v>311</v>
      </c>
      <c r="D263" s="21" t="s">
        <v>312</v>
      </c>
      <c r="E263" s="20" t="s">
        <v>19</v>
      </c>
      <c r="F263" s="22">
        <v>11</v>
      </c>
      <c r="G263" s="23">
        <v>609044.49599999993</v>
      </c>
      <c r="H263" s="24">
        <f>ROUND(F263*G263,0)</f>
        <v>6699489</v>
      </c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</row>
    <row r="264" spans="1:19" s="38" customFormat="1" ht="47.25" hidden="1" x14ac:dyDescent="0.2">
      <c r="A264" s="25"/>
      <c r="B264" s="7" t="s">
        <v>203</v>
      </c>
      <c r="C264" s="20" t="s">
        <v>313</v>
      </c>
      <c r="D264" s="21" t="s">
        <v>314</v>
      </c>
      <c r="E264" s="20" t="s">
        <v>19</v>
      </c>
      <c r="F264" s="22">
        <v>4</v>
      </c>
      <c r="G264" s="23">
        <v>3678900.7560000001</v>
      </c>
      <c r="H264" s="24">
        <f>ROUND(F264*G264,0)</f>
        <v>14715603</v>
      </c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</row>
    <row r="265" spans="1:19" s="38" customFormat="1" ht="47.25" hidden="1" x14ac:dyDescent="0.2">
      <c r="A265" s="25"/>
      <c r="B265" s="7" t="s">
        <v>203</v>
      </c>
      <c r="C265" s="20" t="s">
        <v>315</v>
      </c>
      <c r="D265" s="21" t="s">
        <v>316</v>
      </c>
      <c r="E265" s="20" t="s">
        <v>23</v>
      </c>
      <c r="F265" s="22">
        <v>28.71</v>
      </c>
      <c r="G265" s="23">
        <v>27462.611999999997</v>
      </c>
      <c r="H265" s="24">
        <f>ROUND(F265*G265,0)</f>
        <v>788452</v>
      </c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</row>
    <row r="266" spans="1:19" s="30" customFormat="1" ht="47.25" hidden="1" x14ac:dyDescent="0.2">
      <c r="A266" s="28"/>
      <c r="B266" s="7" t="s">
        <v>203</v>
      </c>
      <c r="C266" s="11">
        <v>4.2</v>
      </c>
      <c r="D266" s="12" t="s">
        <v>317</v>
      </c>
      <c r="E266" s="31"/>
      <c r="F266" s="31"/>
      <c r="G266" s="31"/>
      <c r="H266" s="31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</row>
    <row r="267" spans="1:19" s="30" customFormat="1" ht="47.25" hidden="1" x14ac:dyDescent="0.2">
      <c r="A267" s="28"/>
      <c r="B267" s="7" t="s">
        <v>203</v>
      </c>
      <c r="C267" s="39" t="s">
        <v>91</v>
      </c>
      <c r="D267" s="12" t="s">
        <v>318</v>
      </c>
      <c r="E267" s="15"/>
      <c r="F267" s="16"/>
      <c r="G267" s="16"/>
      <c r="H267" s="17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</row>
    <row r="268" spans="1:19" s="38" customFormat="1" ht="47.25" hidden="1" x14ac:dyDescent="0.2">
      <c r="A268" s="25"/>
      <c r="B268" s="7" t="s">
        <v>203</v>
      </c>
      <c r="C268" s="20" t="s">
        <v>319</v>
      </c>
      <c r="D268" s="21" t="s">
        <v>320</v>
      </c>
      <c r="E268" s="20" t="s">
        <v>19</v>
      </c>
      <c r="F268" s="22">
        <v>4</v>
      </c>
      <c r="G268" s="23">
        <v>2734805.568</v>
      </c>
      <c r="H268" s="24">
        <f>ROUND(F268*G268,0)</f>
        <v>10939222</v>
      </c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</row>
    <row r="269" spans="1:19" s="38" customFormat="1" ht="47.25" hidden="1" x14ac:dyDescent="0.2">
      <c r="A269" s="25"/>
      <c r="B269" s="7" t="s">
        <v>203</v>
      </c>
      <c r="C269" s="20" t="s">
        <v>321</v>
      </c>
      <c r="D269" s="21" t="s">
        <v>322</v>
      </c>
      <c r="E269" s="20" t="s">
        <v>19</v>
      </c>
      <c r="F269" s="22">
        <v>4</v>
      </c>
      <c r="G269" s="23">
        <v>334921.76399999997</v>
      </c>
      <c r="H269" s="24">
        <f>ROUND(F269*G269,0)</f>
        <v>1339687</v>
      </c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</row>
    <row r="270" spans="1:19" s="30" customFormat="1" ht="47.25" hidden="1" x14ac:dyDescent="0.2">
      <c r="A270" s="28"/>
      <c r="B270" s="7" t="s">
        <v>203</v>
      </c>
      <c r="C270" s="39" t="s">
        <v>323</v>
      </c>
      <c r="D270" s="12" t="s">
        <v>324</v>
      </c>
      <c r="E270" s="15"/>
      <c r="F270" s="16"/>
      <c r="G270" s="16"/>
      <c r="H270" s="17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</row>
    <row r="271" spans="1:19" s="38" customFormat="1" ht="47.25" hidden="1" x14ac:dyDescent="0.2">
      <c r="A271" s="25"/>
      <c r="B271" s="7" t="s">
        <v>203</v>
      </c>
      <c r="C271" s="20" t="s">
        <v>325</v>
      </c>
      <c r="D271" s="21" t="s">
        <v>326</v>
      </c>
      <c r="E271" s="20" t="s">
        <v>19</v>
      </c>
      <c r="F271" s="22">
        <v>1</v>
      </c>
      <c r="G271" s="23">
        <v>1370503.692</v>
      </c>
      <c r="H271" s="24">
        <f>ROUND(F271*G271,0)</f>
        <v>1370504</v>
      </c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</row>
    <row r="272" spans="1:19" s="30" customFormat="1" ht="47.25" hidden="1" x14ac:dyDescent="0.2">
      <c r="A272" s="28"/>
      <c r="B272" s="7" t="s">
        <v>203</v>
      </c>
      <c r="C272" s="39" t="s">
        <v>327</v>
      </c>
      <c r="D272" s="12" t="s">
        <v>328</v>
      </c>
      <c r="E272" s="15"/>
      <c r="F272" s="16"/>
      <c r="G272" s="16"/>
      <c r="H272" s="17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</row>
    <row r="273" spans="1:19" s="38" customFormat="1" ht="85.5" hidden="1" x14ac:dyDescent="0.2">
      <c r="A273" s="25"/>
      <c r="B273" s="7" t="s">
        <v>203</v>
      </c>
      <c r="C273" s="20" t="s">
        <v>329</v>
      </c>
      <c r="D273" s="21" t="s">
        <v>330</v>
      </c>
      <c r="E273" s="20" t="s">
        <v>19</v>
      </c>
      <c r="F273" s="22">
        <v>8</v>
      </c>
      <c r="G273" s="40">
        <v>2898376.3319999999</v>
      </c>
      <c r="H273" s="24">
        <f>ROUND(F273*G273,0)</f>
        <v>23187011</v>
      </c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</row>
    <row r="274" spans="1:19" s="30" customFormat="1" ht="47.25" hidden="1" x14ac:dyDescent="0.2">
      <c r="A274" s="28"/>
      <c r="B274" s="7" t="s">
        <v>203</v>
      </c>
      <c r="C274" s="11">
        <v>4.3</v>
      </c>
      <c r="D274" s="12" t="s">
        <v>331</v>
      </c>
      <c r="E274" s="31"/>
      <c r="F274" s="31"/>
      <c r="G274" s="31"/>
      <c r="H274" s="31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</row>
    <row r="275" spans="1:19" s="30" customFormat="1" ht="47.25" hidden="1" x14ac:dyDescent="0.2">
      <c r="A275" s="28"/>
      <c r="B275" s="7" t="s">
        <v>203</v>
      </c>
      <c r="C275" s="39" t="s">
        <v>94</v>
      </c>
      <c r="D275" s="12" t="s">
        <v>332</v>
      </c>
      <c r="E275" s="15"/>
      <c r="F275" s="16"/>
      <c r="G275" s="16"/>
      <c r="H275" s="17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</row>
    <row r="276" spans="1:19" s="38" customFormat="1" ht="47.25" hidden="1" x14ac:dyDescent="0.2">
      <c r="A276" s="25"/>
      <c r="B276" s="7" t="s">
        <v>203</v>
      </c>
      <c r="C276" s="20" t="s">
        <v>333</v>
      </c>
      <c r="D276" s="21" t="s">
        <v>334</v>
      </c>
      <c r="E276" s="20" t="s">
        <v>16</v>
      </c>
      <c r="F276" s="22">
        <v>15</v>
      </c>
      <c r="G276" s="40">
        <v>31189.199999999997</v>
      </c>
      <c r="H276" s="24">
        <f>ROUND(F276*G276,0)</f>
        <v>467838</v>
      </c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</row>
    <row r="277" spans="1:19" s="38" customFormat="1" ht="47.25" hidden="1" x14ac:dyDescent="0.2">
      <c r="A277" s="25"/>
      <c r="B277" s="7" t="s">
        <v>203</v>
      </c>
      <c r="C277" s="20" t="s">
        <v>335</v>
      </c>
      <c r="D277" s="21" t="s">
        <v>336</v>
      </c>
      <c r="E277" s="20" t="s">
        <v>16</v>
      </c>
      <c r="F277" s="22">
        <v>421.5</v>
      </c>
      <c r="G277" s="40">
        <v>29635.428</v>
      </c>
      <c r="H277" s="24">
        <f>ROUND(F277*G277,0)</f>
        <v>12491333</v>
      </c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</row>
    <row r="278" spans="1:19" s="38" customFormat="1" ht="47.25" hidden="1" x14ac:dyDescent="0.2">
      <c r="A278" s="25"/>
      <c r="B278" s="7" t="s">
        <v>203</v>
      </c>
      <c r="C278" s="20" t="s">
        <v>337</v>
      </c>
      <c r="D278" s="21" t="s">
        <v>338</v>
      </c>
      <c r="E278" s="20" t="s">
        <v>19</v>
      </c>
      <c r="F278" s="22">
        <v>8</v>
      </c>
      <c r="G278" s="40">
        <v>28544.28</v>
      </c>
      <c r="H278" s="24">
        <f>ROUND(F278*G278,0)</f>
        <v>228354</v>
      </c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</row>
    <row r="279" spans="1:19" s="30" customFormat="1" ht="47.25" hidden="1" x14ac:dyDescent="0.2">
      <c r="A279" s="28"/>
      <c r="B279" s="7" t="s">
        <v>203</v>
      </c>
      <c r="C279" s="11">
        <v>4.4000000000000004</v>
      </c>
      <c r="D279" s="12" t="s">
        <v>339</v>
      </c>
      <c r="E279" s="31"/>
      <c r="F279" s="31"/>
      <c r="G279" s="31"/>
      <c r="H279" s="31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</row>
    <row r="280" spans="1:19" s="30" customFormat="1" ht="47.25" hidden="1" x14ac:dyDescent="0.2">
      <c r="A280" s="28"/>
      <c r="B280" s="7" t="s">
        <v>203</v>
      </c>
      <c r="C280" s="39" t="s">
        <v>105</v>
      </c>
      <c r="D280" s="12" t="s">
        <v>78</v>
      </c>
      <c r="E280" s="15"/>
      <c r="F280" s="16"/>
      <c r="G280" s="16"/>
      <c r="H280" s="17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</row>
    <row r="281" spans="1:19" s="38" customFormat="1" ht="47.25" hidden="1" x14ac:dyDescent="0.2">
      <c r="A281" s="25"/>
      <c r="B281" s="7" t="s">
        <v>203</v>
      </c>
      <c r="C281" s="20" t="s">
        <v>340</v>
      </c>
      <c r="D281" s="21" t="s">
        <v>341</v>
      </c>
      <c r="E281" s="20" t="s">
        <v>19</v>
      </c>
      <c r="F281" s="22">
        <v>1</v>
      </c>
      <c r="G281" s="40">
        <v>6131666.8439999996</v>
      </c>
      <c r="H281" s="24">
        <f>ROUND(F281*G281,0)</f>
        <v>6131667</v>
      </c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</row>
    <row r="282" spans="1:19" s="38" customFormat="1" ht="47.25" hidden="1" x14ac:dyDescent="0.2">
      <c r="A282" s="25"/>
      <c r="B282" s="7" t="s">
        <v>203</v>
      </c>
      <c r="C282" s="20" t="s">
        <v>342</v>
      </c>
      <c r="D282" s="21" t="s">
        <v>343</v>
      </c>
      <c r="E282" s="20" t="s">
        <v>19</v>
      </c>
      <c r="F282" s="22">
        <v>1</v>
      </c>
      <c r="G282" s="40">
        <v>730781.28215182526</v>
      </c>
      <c r="H282" s="24">
        <f>ROUND(F282*G282,0)</f>
        <v>730781</v>
      </c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</row>
    <row r="283" spans="1:19" s="38" customFormat="1" ht="47.25" hidden="1" x14ac:dyDescent="0.2">
      <c r="A283" s="25"/>
      <c r="B283" s="7" t="s">
        <v>203</v>
      </c>
      <c r="C283" s="20" t="s">
        <v>344</v>
      </c>
      <c r="D283" s="21" t="s">
        <v>345</v>
      </c>
      <c r="E283" s="20" t="s">
        <v>16</v>
      </c>
      <c r="F283" s="22">
        <v>6</v>
      </c>
      <c r="G283" s="40">
        <v>7218.0719999999992</v>
      </c>
      <c r="H283" s="24">
        <f>ROUND(F283*G283,0)</f>
        <v>43308</v>
      </c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</row>
    <row r="284" spans="1:19" s="30" customFormat="1" ht="47.25" hidden="1" x14ac:dyDescent="0.2">
      <c r="A284" s="28"/>
      <c r="B284" s="7" t="s">
        <v>203</v>
      </c>
      <c r="C284" s="11">
        <v>4.5</v>
      </c>
      <c r="D284" s="12" t="s">
        <v>346</v>
      </c>
      <c r="E284" s="31"/>
      <c r="F284" s="31"/>
      <c r="G284" s="31"/>
      <c r="H284" s="31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</row>
    <row r="285" spans="1:19" s="30" customFormat="1" ht="47.25" hidden="1" x14ac:dyDescent="0.2">
      <c r="A285" s="28"/>
      <c r="B285" s="7" t="s">
        <v>203</v>
      </c>
      <c r="C285" s="39" t="s">
        <v>110</v>
      </c>
      <c r="D285" s="12" t="s">
        <v>347</v>
      </c>
      <c r="E285" s="15"/>
      <c r="F285" s="16"/>
      <c r="G285" s="16"/>
      <c r="H285" s="17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</row>
    <row r="286" spans="1:19" s="38" customFormat="1" ht="47.25" hidden="1" x14ac:dyDescent="0.2">
      <c r="A286" s="25"/>
      <c r="B286" s="7" t="s">
        <v>203</v>
      </c>
      <c r="C286" s="20" t="s">
        <v>348</v>
      </c>
      <c r="D286" s="21" t="s">
        <v>349</v>
      </c>
      <c r="E286" s="20" t="s">
        <v>19</v>
      </c>
      <c r="F286" s="22">
        <v>1</v>
      </c>
      <c r="G286" s="40">
        <v>11051954.639999999</v>
      </c>
      <c r="H286" s="24">
        <f>ROUND(F286*G286,0)</f>
        <v>11051955</v>
      </c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</row>
    <row r="287" spans="1:19" s="38" customFormat="1" ht="47.25" hidden="1" x14ac:dyDescent="0.2">
      <c r="A287" s="25"/>
      <c r="B287" s="7" t="s">
        <v>203</v>
      </c>
      <c r="C287" s="20" t="s">
        <v>350</v>
      </c>
      <c r="D287" s="21" t="s">
        <v>351</v>
      </c>
      <c r="E287" s="20" t="s">
        <v>19</v>
      </c>
      <c r="F287" s="22">
        <v>1</v>
      </c>
      <c r="G287" s="40">
        <v>469260</v>
      </c>
      <c r="H287" s="24">
        <f>ROUND(F287*G287,0)</f>
        <v>469260</v>
      </c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</row>
    <row r="288" spans="1:19" s="30" customFormat="1" ht="47.25" hidden="1" x14ac:dyDescent="0.2">
      <c r="A288" s="28"/>
      <c r="B288" s="7" t="s">
        <v>203</v>
      </c>
      <c r="C288" s="11">
        <v>4.5999999999999996</v>
      </c>
      <c r="D288" s="12" t="s">
        <v>352</v>
      </c>
      <c r="E288" s="31"/>
      <c r="F288" s="31"/>
      <c r="G288" s="31"/>
      <c r="H288" s="31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</row>
    <row r="289" spans="1:19" s="30" customFormat="1" ht="47.25" hidden="1" x14ac:dyDescent="0.2">
      <c r="A289" s="28"/>
      <c r="B289" s="7" t="s">
        <v>203</v>
      </c>
      <c r="C289" s="39" t="s">
        <v>118</v>
      </c>
      <c r="D289" s="12" t="s">
        <v>353</v>
      </c>
      <c r="E289" s="15"/>
      <c r="F289" s="16"/>
      <c r="G289" s="16"/>
      <c r="H289" s="17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</row>
    <row r="290" spans="1:19" s="38" customFormat="1" ht="47.25" hidden="1" x14ac:dyDescent="0.2">
      <c r="A290" s="25"/>
      <c r="B290" s="7" t="s">
        <v>203</v>
      </c>
      <c r="C290" s="20" t="s">
        <v>354</v>
      </c>
      <c r="D290" s="21" t="s">
        <v>119</v>
      </c>
      <c r="E290" s="20" t="s">
        <v>16</v>
      </c>
      <c r="F290" s="22">
        <v>120.94</v>
      </c>
      <c r="G290" s="40">
        <v>58818.659999999996</v>
      </c>
      <c r="H290" s="24">
        <f>ROUND(F290*G290,0)</f>
        <v>7113529</v>
      </c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</row>
    <row r="291" spans="1:19" s="30" customFormat="1" ht="47.25" hidden="1" x14ac:dyDescent="0.2">
      <c r="A291" s="28"/>
      <c r="B291" s="7" t="s">
        <v>203</v>
      </c>
      <c r="C291" s="11">
        <v>4.7</v>
      </c>
      <c r="D291" s="12" t="s">
        <v>355</v>
      </c>
      <c r="E291" s="31"/>
      <c r="F291" s="31"/>
      <c r="G291" s="31"/>
      <c r="H291" s="31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</row>
    <row r="292" spans="1:19" s="30" customFormat="1" ht="47.25" hidden="1" x14ac:dyDescent="0.2">
      <c r="A292" s="28"/>
      <c r="B292" s="7" t="s">
        <v>203</v>
      </c>
      <c r="C292" s="39" t="s">
        <v>356</v>
      </c>
      <c r="D292" s="12" t="s">
        <v>357</v>
      </c>
      <c r="E292" s="15"/>
      <c r="F292" s="16"/>
      <c r="G292" s="16"/>
      <c r="H292" s="17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</row>
    <row r="293" spans="1:19" s="38" customFormat="1" ht="47.25" hidden="1" x14ac:dyDescent="0.2">
      <c r="A293" s="25"/>
      <c r="B293" s="7" t="s">
        <v>203</v>
      </c>
      <c r="C293" s="20" t="s">
        <v>358</v>
      </c>
      <c r="D293" s="21" t="s">
        <v>200</v>
      </c>
      <c r="E293" s="20" t="s">
        <v>19</v>
      </c>
      <c r="F293" s="22">
        <v>4</v>
      </c>
      <c r="G293" s="40">
        <v>414021.93599999999</v>
      </c>
      <c r="H293" s="24">
        <f>ROUND(F293*G293,0)</f>
        <v>1656088</v>
      </c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</row>
    <row r="294" spans="1:19" s="38" customFormat="1" ht="47.25" hidden="1" x14ac:dyDescent="0.2">
      <c r="A294" s="25"/>
      <c r="B294" s="7" t="s">
        <v>203</v>
      </c>
      <c r="C294" s="20" t="s">
        <v>359</v>
      </c>
      <c r="D294" s="21" t="s">
        <v>360</v>
      </c>
      <c r="E294" s="20" t="s">
        <v>19</v>
      </c>
      <c r="F294" s="22">
        <v>4</v>
      </c>
      <c r="G294" s="40">
        <v>46185.612000000001</v>
      </c>
      <c r="H294" s="24">
        <f>ROUND(F294*G294,0)</f>
        <v>184742</v>
      </c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</row>
    <row r="295" spans="1:19" s="38" customFormat="1" ht="47.25" hidden="1" x14ac:dyDescent="0.2">
      <c r="A295" s="25"/>
      <c r="B295" s="7" t="s">
        <v>203</v>
      </c>
      <c r="C295" s="20" t="s">
        <v>361</v>
      </c>
      <c r="D295" s="21" t="s">
        <v>362</v>
      </c>
      <c r="E295" s="20" t="s">
        <v>16</v>
      </c>
      <c r="F295" s="22">
        <v>51.93</v>
      </c>
      <c r="G295" s="40">
        <v>3416.5919999999996</v>
      </c>
      <c r="H295" s="24">
        <f>ROUND(F295*G295,0)</f>
        <v>177424</v>
      </c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</row>
    <row r="296" spans="1:19" s="30" customFormat="1" ht="47.25" hidden="1" x14ac:dyDescent="0.2">
      <c r="A296" s="28"/>
      <c r="B296" s="7" t="s">
        <v>203</v>
      </c>
      <c r="C296" s="11">
        <v>5</v>
      </c>
      <c r="D296" s="12" t="s">
        <v>76</v>
      </c>
      <c r="E296" s="31"/>
      <c r="F296" s="31"/>
      <c r="G296" s="31"/>
      <c r="H296" s="31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</row>
    <row r="297" spans="1:19" s="38" customFormat="1" ht="47.25" hidden="1" x14ac:dyDescent="0.2">
      <c r="A297" s="25"/>
      <c r="B297" s="7" t="s">
        <v>203</v>
      </c>
      <c r="C297" s="32">
        <v>5.0999999999999996</v>
      </c>
      <c r="D297" s="21" t="s">
        <v>76</v>
      </c>
      <c r="E297" s="20" t="s">
        <v>13</v>
      </c>
      <c r="F297" s="22">
        <v>1823.92</v>
      </c>
      <c r="G297" s="40">
        <v>969.80399999999997</v>
      </c>
      <c r="H297" s="24">
        <f>ROUND(F297*G297,0)</f>
        <v>1768845</v>
      </c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</row>
    <row r="298" spans="1:19" s="30" customFormat="1" ht="47.25" hidden="1" x14ac:dyDescent="0.2">
      <c r="A298" s="28"/>
      <c r="B298" s="7" t="s">
        <v>203</v>
      </c>
      <c r="C298" s="11">
        <v>6</v>
      </c>
      <c r="D298" s="12" t="s">
        <v>138</v>
      </c>
      <c r="E298" s="31"/>
      <c r="F298" s="31"/>
      <c r="G298" s="31"/>
      <c r="H298" s="31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</row>
    <row r="299" spans="1:19" s="38" customFormat="1" ht="47.25" hidden="1" x14ac:dyDescent="0.2">
      <c r="A299" s="25"/>
      <c r="B299" s="7" t="s">
        <v>203</v>
      </c>
      <c r="C299" s="32">
        <v>6.1</v>
      </c>
      <c r="D299" s="21" t="s">
        <v>138</v>
      </c>
      <c r="E299" s="20" t="s">
        <v>139</v>
      </c>
      <c r="F299" s="34">
        <v>0.03</v>
      </c>
      <c r="G299" s="40">
        <v>553232123.17199993</v>
      </c>
      <c r="H299" s="24">
        <f>ROUND(F299*G299,0)</f>
        <v>16596964</v>
      </c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</row>
    <row r="300" spans="1:19" s="43" customFormat="1" ht="126" hidden="1" x14ac:dyDescent="0.25">
      <c r="A300" s="41"/>
      <c r="B300" s="7" t="s">
        <v>363</v>
      </c>
      <c r="C300" s="11">
        <v>1</v>
      </c>
      <c r="D300" s="12" t="s">
        <v>204</v>
      </c>
      <c r="E300" s="31"/>
      <c r="F300" s="31"/>
      <c r="G300" s="31"/>
      <c r="H300" s="31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</row>
    <row r="301" spans="1:19" s="43" customFormat="1" ht="126" hidden="1" x14ac:dyDescent="0.25">
      <c r="A301" s="41"/>
      <c r="B301" s="7" t="s">
        <v>363</v>
      </c>
      <c r="C301" s="13">
        <v>1.1000000000000001</v>
      </c>
      <c r="D301" s="12" t="s">
        <v>10</v>
      </c>
      <c r="E301" s="15"/>
      <c r="F301" s="16"/>
      <c r="G301" s="16"/>
      <c r="H301" s="17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</row>
    <row r="302" spans="1:19" s="46" customFormat="1" ht="126" hidden="1" x14ac:dyDescent="0.25">
      <c r="A302" s="44"/>
      <c r="B302" s="7" t="s">
        <v>363</v>
      </c>
      <c r="C302" s="20" t="s">
        <v>11</v>
      </c>
      <c r="D302" s="21" t="s">
        <v>205</v>
      </c>
      <c r="E302" s="20" t="s">
        <v>13</v>
      </c>
      <c r="F302" s="22">
        <v>2006.71</v>
      </c>
      <c r="G302" s="40">
        <v>1984.164</v>
      </c>
      <c r="H302" s="24">
        <f>ROUND(F302*G302,0)</f>
        <v>3981642</v>
      </c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</row>
    <row r="303" spans="1:19" s="46" customFormat="1" ht="126" hidden="1" x14ac:dyDescent="0.25">
      <c r="A303" s="44"/>
      <c r="B303" s="7" t="s">
        <v>363</v>
      </c>
      <c r="C303" s="20" t="s">
        <v>14</v>
      </c>
      <c r="D303" s="21" t="s">
        <v>206</v>
      </c>
      <c r="E303" s="20" t="s">
        <v>16</v>
      </c>
      <c r="F303" s="22">
        <v>193.17</v>
      </c>
      <c r="G303" s="40">
        <v>15791.784</v>
      </c>
      <c r="H303" s="24">
        <f>ROUND(F303*G303,0)</f>
        <v>3050499</v>
      </c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</row>
    <row r="304" spans="1:19" s="46" customFormat="1" ht="126" hidden="1" x14ac:dyDescent="0.25">
      <c r="A304" s="44"/>
      <c r="B304" s="7" t="s">
        <v>363</v>
      </c>
      <c r="C304" s="20" t="s">
        <v>17</v>
      </c>
      <c r="D304" s="21" t="s">
        <v>364</v>
      </c>
      <c r="E304" s="20" t="s">
        <v>16</v>
      </c>
      <c r="F304" s="22">
        <v>193.17</v>
      </c>
      <c r="G304" s="40">
        <v>19200.791999999998</v>
      </c>
      <c r="H304" s="24">
        <f>ROUND(F304*G304,0)</f>
        <v>3709017</v>
      </c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</row>
    <row r="305" spans="1:19" s="46" customFormat="1" ht="126" hidden="1" x14ac:dyDescent="0.25">
      <c r="A305" s="44"/>
      <c r="B305" s="7" t="s">
        <v>363</v>
      </c>
      <c r="C305" s="20" t="s">
        <v>142</v>
      </c>
      <c r="D305" s="21" t="s">
        <v>365</v>
      </c>
      <c r="E305" s="20" t="s">
        <v>13</v>
      </c>
      <c r="F305" s="22">
        <v>2006.71</v>
      </c>
      <c r="G305" s="40">
        <v>10242.191999999999</v>
      </c>
      <c r="H305" s="24">
        <f>ROUND(F305*G305,0)</f>
        <v>20553109</v>
      </c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</row>
    <row r="306" spans="1:19" s="46" customFormat="1" ht="126" hidden="1" x14ac:dyDescent="0.25">
      <c r="A306" s="44"/>
      <c r="B306" s="7" t="s">
        <v>363</v>
      </c>
      <c r="C306" s="20" t="s">
        <v>144</v>
      </c>
      <c r="D306" s="21" t="s">
        <v>366</v>
      </c>
      <c r="E306" s="20" t="s">
        <v>13</v>
      </c>
      <c r="F306" s="22">
        <v>3745.24</v>
      </c>
      <c r="G306" s="40">
        <v>2133.9479999999999</v>
      </c>
      <c r="H306" s="24">
        <f>ROUND(F306*G306,0)</f>
        <v>7992147</v>
      </c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</row>
    <row r="307" spans="1:19" s="46" customFormat="1" ht="126" hidden="1" x14ac:dyDescent="0.25">
      <c r="A307" s="44"/>
      <c r="B307" s="7" t="s">
        <v>363</v>
      </c>
      <c r="C307" s="20" t="s">
        <v>146</v>
      </c>
      <c r="D307" s="21" t="s">
        <v>367</v>
      </c>
      <c r="E307" s="20" t="s">
        <v>368</v>
      </c>
      <c r="F307" s="22">
        <v>1</v>
      </c>
      <c r="G307" s="40">
        <v>1328831.5079999999</v>
      </c>
      <c r="H307" s="24">
        <f>ROUND(F307*G307,0)</f>
        <v>1328832</v>
      </c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</row>
    <row r="308" spans="1:19" s="46" customFormat="1" ht="126" hidden="1" x14ac:dyDescent="0.25">
      <c r="A308" s="44"/>
      <c r="B308" s="7" t="s">
        <v>363</v>
      </c>
      <c r="C308" s="20" t="s">
        <v>148</v>
      </c>
      <c r="D308" s="21" t="s">
        <v>153</v>
      </c>
      <c r="E308" s="20" t="s">
        <v>23</v>
      </c>
      <c r="F308" s="22">
        <v>196.93</v>
      </c>
      <c r="G308" s="40">
        <v>5493.66</v>
      </c>
      <c r="H308" s="24">
        <f>ROUND(F308*G308,0)</f>
        <v>1081866</v>
      </c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</row>
    <row r="309" spans="1:19" s="46" customFormat="1" ht="126" hidden="1" x14ac:dyDescent="0.25">
      <c r="A309" s="44"/>
      <c r="B309" s="7" t="s">
        <v>363</v>
      </c>
      <c r="C309" s="20" t="s">
        <v>150</v>
      </c>
      <c r="D309" s="21" t="s">
        <v>37</v>
      </c>
      <c r="E309" s="20" t="s">
        <v>38</v>
      </c>
      <c r="F309" s="22">
        <v>23040.81</v>
      </c>
      <c r="G309" s="40">
        <v>1598.328</v>
      </c>
      <c r="H309" s="24">
        <f>ROUND(F309*G309,0)</f>
        <v>36826772</v>
      </c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</row>
    <row r="310" spans="1:19" s="43" customFormat="1" ht="126" hidden="1" x14ac:dyDescent="0.25">
      <c r="A310" s="41"/>
      <c r="B310" s="7" t="s">
        <v>363</v>
      </c>
      <c r="C310" s="13">
        <v>1.2</v>
      </c>
      <c r="D310" s="12" t="s">
        <v>204</v>
      </c>
      <c r="E310" s="15"/>
      <c r="F310" s="16"/>
      <c r="G310" s="16"/>
      <c r="H310" s="17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</row>
    <row r="311" spans="1:19" s="46" customFormat="1" ht="126" hidden="1" x14ac:dyDescent="0.25">
      <c r="A311" s="44"/>
      <c r="B311" s="7" t="s">
        <v>363</v>
      </c>
      <c r="C311" s="20" t="s">
        <v>21</v>
      </c>
      <c r="D311" s="21" t="s">
        <v>369</v>
      </c>
      <c r="E311" s="20" t="s">
        <v>13</v>
      </c>
      <c r="F311" s="22">
        <v>2006.71</v>
      </c>
      <c r="G311" s="40">
        <v>144570</v>
      </c>
      <c r="H311" s="24">
        <f>ROUND(F311*G311,0)</f>
        <v>290110065</v>
      </c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</row>
    <row r="312" spans="1:19" s="43" customFormat="1" ht="126" hidden="1" x14ac:dyDescent="0.25">
      <c r="A312" s="41"/>
      <c r="B312" s="7" t="s">
        <v>363</v>
      </c>
      <c r="C312" s="13">
        <v>1.3</v>
      </c>
      <c r="D312" s="12" t="s">
        <v>218</v>
      </c>
      <c r="E312" s="15"/>
      <c r="F312" s="16"/>
      <c r="G312" s="16"/>
      <c r="H312" s="17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</row>
    <row r="313" spans="1:19" s="46" customFormat="1" ht="126" hidden="1" x14ac:dyDescent="0.25">
      <c r="A313" s="44"/>
      <c r="B313" s="7" t="s">
        <v>363</v>
      </c>
      <c r="C313" s="20" t="s">
        <v>44</v>
      </c>
      <c r="D313" s="21" t="s">
        <v>22</v>
      </c>
      <c r="E313" s="20" t="s">
        <v>23</v>
      </c>
      <c r="F313" s="22">
        <v>4.8</v>
      </c>
      <c r="G313" s="40">
        <v>27462.611999999997</v>
      </c>
      <c r="H313" s="24">
        <f>ROUND(F313*G313,0)</f>
        <v>131821</v>
      </c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</row>
    <row r="314" spans="1:19" s="46" customFormat="1" ht="126" hidden="1" x14ac:dyDescent="0.25">
      <c r="A314" s="44"/>
      <c r="B314" s="7" t="s">
        <v>363</v>
      </c>
      <c r="C314" s="20" t="s">
        <v>46</v>
      </c>
      <c r="D314" s="21" t="s">
        <v>153</v>
      </c>
      <c r="E314" s="20" t="s">
        <v>23</v>
      </c>
      <c r="F314" s="22">
        <v>5.04</v>
      </c>
      <c r="G314" s="40">
        <v>5493.66</v>
      </c>
      <c r="H314" s="24">
        <f>ROUND(F314*G314,0)</f>
        <v>27688</v>
      </c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</row>
    <row r="315" spans="1:19" s="46" customFormat="1" ht="126" hidden="1" x14ac:dyDescent="0.25">
      <c r="A315" s="44"/>
      <c r="B315" s="7" t="s">
        <v>363</v>
      </c>
      <c r="C315" s="20" t="s">
        <v>49</v>
      </c>
      <c r="D315" s="21" t="s">
        <v>37</v>
      </c>
      <c r="E315" s="20" t="s">
        <v>38</v>
      </c>
      <c r="F315" s="22">
        <v>589.67999999999995</v>
      </c>
      <c r="G315" s="40">
        <v>1598.328</v>
      </c>
      <c r="H315" s="24">
        <f>ROUND(F315*G315,0)</f>
        <v>942502</v>
      </c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</row>
    <row r="316" spans="1:19" s="46" customFormat="1" ht="126" hidden="1" x14ac:dyDescent="0.25">
      <c r="A316" s="44"/>
      <c r="B316" s="7" t="s">
        <v>363</v>
      </c>
      <c r="C316" s="20" t="s">
        <v>51</v>
      </c>
      <c r="D316" s="21" t="s">
        <v>225</v>
      </c>
      <c r="E316" s="20" t="s">
        <v>23</v>
      </c>
      <c r="F316" s="22">
        <v>4.8</v>
      </c>
      <c r="G316" s="40">
        <v>553890.804</v>
      </c>
      <c r="H316" s="24">
        <f>ROUND(F316*G316,0)</f>
        <v>2658676</v>
      </c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</row>
    <row r="317" spans="1:19" s="46" customFormat="1" ht="126" hidden="1" x14ac:dyDescent="0.25">
      <c r="A317" s="44"/>
      <c r="B317" s="7" t="s">
        <v>363</v>
      </c>
      <c r="C317" s="20" t="s">
        <v>53</v>
      </c>
      <c r="D317" s="21" t="s">
        <v>214</v>
      </c>
      <c r="E317" s="20" t="s">
        <v>48</v>
      </c>
      <c r="F317" s="22">
        <v>333.32</v>
      </c>
      <c r="G317" s="40">
        <v>6597.1319999999996</v>
      </c>
      <c r="H317" s="24">
        <f>ROUND(F317*G317,0)</f>
        <v>2198956</v>
      </c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</row>
    <row r="318" spans="1:19" s="46" customFormat="1" ht="126" hidden="1" x14ac:dyDescent="0.25">
      <c r="A318" s="44"/>
      <c r="B318" s="7" t="s">
        <v>363</v>
      </c>
      <c r="C318" s="20" t="s">
        <v>55</v>
      </c>
      <c r="D318" s="21" t="s">
        <v>220</v>
      </c>
      <c r="E318" s="20" t="s">
        <v>168</v>
      </c>
      <c r="F318" s="22">
        <v>1</v>
      </c>
      <c r="G318" s="40">
        <v>2340491.6039999998</v>
      </c>
      <c r="H318" s="24">
        <f>ROUND(F318*G318,0)</f>
        <v>2340492</v>
      </c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</row>
    <row r="319" spans="1:19" s="46" customFormat="1" ht="126" hidden="1" x14ac:dyDescent="0.25">
      <c r="A319" s="44"/>
      <c r="B319" s="7" t="s">
        <v>363</v>
      </c>
      <c r="C319" s="20" t="s">
        <v>57</v>
      </c>
      <c r="D319" s="21" t="s">
        <v>370</v>
      </c>
      <c r="E319" s="20" t="s">
        <v>168</v>
      </c>
      <c r="F319" s="22">
        <v>3</v>
      </c>
      <c r="G319" s="40">
        <v>5083849.08</v>
      </c>
      <c r="H319" s="24">
        <f>ROUND(F319*G319,0)</f>
        <v>15251547</v>
      </c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</row>
    <row r="320" spans="1:19" s="43" customFormat="1" ht="126" hidden="1" x14ac:dyDescent="0.25">
      <c r="A320" s="41"/>
      <c r="B320" s="7" t="s">
        <v>363</v>
      </c>
      <c r="C320" s="13">
        <v>1.4</v>
      </c>
      <c r="D320" s="12" t="s">
        <v>371</v>
      </c>
      <c r="E320" s="15"/>
      <c r="F320" s="16"/>
      <c r="G320" s="16"/>
      <c r="H320" s="17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</row>
    <row r="321" spans="1:19" s="46" customFormat="1" ht="126" hidden="1" x14ac:dyDescent="0.25">
      <c r="A321" s="44"/>
      <c r="B321" s="7" t="s">
        <v>363</v>
      </c>
      <c r="C321" s="20" t="s">
        <v>219</v>
      </c>
      <c r="D321" s="21" t="s">
        <v>22</v>
      </c>
      <c r="E321" s="20" t="s">
        <v>23</v>
      </c>
      <c r="F321" s="22">
        <v>9.9499999999999993</v>
      </c>
      <c r="G321" s="40">
        <v>27462.611999999997</v>
      </c>
      <c r="H321" s="24">
        <f>ROUND(F321*G321,0)</f>
        <v>273253</v>
      </c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</row>
    <row r="322" spans="1:19" s="46" customFormat="1" ht="126" hidden="1" x14ac:dyDescent="0.25">
      <c r="A322" s="44"/>
      <c r="B322" s="7" t="s">
        <v>363</v>
      </c>
      <c r="C322" s="20" t="s">
        <v>221</v>
      </c>
      <c r="D322" s="21" t="s">
        <v>153</v>
      </c>
      <c r="E322" s="20" t="s">
        <v>23</v>
      </c>
      <c r="F322" s="22">
        <v>9.9600000000000009</v>
      </c>
      <c r="G322" s="40">
        <v>5493.66</v>
      </c>
      <c r="H322" s="24">
        <f>ROUND(F322*G322,0)</f>
        <v>54717</v>
      </c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</row>
    <row r="323" spans="1:19" s="46" customFormat="1" ht="126" hidden="1" x14ac:dyDescent="0.25">
      <c r="A323" s="44"/>
      <c r="B323" s="7" t="s">
        <v>363</v>
      </c>
      <c r="C323" s="20" t="s">
        <v>222</v>
      </c>
      <c r="D323" s="21" t="s">
        <v>37</v>
      </c>
      <c r="E323" s="20" t="s">
        <v>38</v>
      </c>
      <c r="F323" s="22">
        <v>1165.32</v>
      </c>
      <c r="G323" s="40">
        <v>1598.328</v>
      </c>
      <c r="H323" s="24">
        <f>ROUND(F323*G323,0)</f>
        <v>1862564</v>
      </c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</row>
    <row r="324" spans="1:19" s="46" customFormat="1" ht="126" hidden="1" x14ac:dyDescent="0.25">
      <c r="A324" s="44"/>
      <c r="B324" s="7" t="s">
        <v>363</v>
      </c>
      <c r="C324" s="20" t="s">
        <v>223</v>
      </c>
      <c r="D324" s="21" t="s">
        <v>225</v>
      </c>
      <c r="E324" s="20" t="s">
        <v>23</v>
      </c>
      <c r="F324" s="22">
        <v>9.9499999999999993</v>
      </c>
      <c r="G324" s="40">
        <v>553890.804</v>
      </c>
      <c r="H324" s="24">
        <f>ROUND(F324*G324,0)</f>
        <v>5511213</v>
      </c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</row>
    <row r="325" spans="1:19" s="46" customFormat="1" ht="126" hidden="1" x14ac:dyDescent="0.25">
      <c r="A325" s="44"/>
      <c r="B325" s="7" t="s">
        <v>363</v>
      </c>
      <c r="C325" s="20" t="s">
        <v>224</v>
      </c>
      <c r="D325" s="21" t="s">
        <v>214</v>
      </c>
      <c r="E325" s="20" t="s">
        <v>48</v>
      </c>
      <c r="F325" s="22">
        <v>354.45</v>
      </c>
      <c r="G325" s="40">
        <v>6597.1319999999996</v>
      </c>
      <c r="H325" s="24">
        <f>ROUND(F325*G325,0)</f>
        <v>2338353</v>
      </c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</row>
    <row r="326" spans="1:19" s="46" customFormat="1" ht="126" hidden="1" x14ac:dyDescent="0.25">
      <c r="A326" s="44"/>
      <c r="B326" s="7" t="s">
        <v>363</v>
      </c>
      <c r="C326" s="20" t="s">
        <v>226</v>
      </c>
      <c r="D326" s="21" t="s">
        <v>170</v>
      </c>
      <c r="E326" s="20" t="s">
        <v>48</v>
      </c>
      <c r="F326" s="22">
        <v>1641.2</v>
      </c>
      <c r="G326" s="40">
        <v>18429.12</v>
      </c>
      <c r="H326" s="24">
        <f>ROUND(F326*G326,0)</f>
        <v>30245872</v>
      </c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</row>
    <row r="327" spans="1:19" s="46" customFormat="1" ht="126" hidden="1" x14ac:dyDescent="0.25">
      <c r="A327" s="44"/>
      <c r="B327" s="7" t="s">
        <v>363</v>
      </c>
      <c r="C327" s="20" t="s">
        <v>372</v>
      </c>
      <c r="D327" s="21" t="s">
        <v>373</v>
      </c>
      <c r="E327" s="20" t="s">
        <v>13</v>
      </c>
      <c r="F327" s="22">
        <v>2285.73</v>
      </c>
      <c r="G327" s="40">
        <v>27492</v>
      </c>
      <c r="H327" s="24">
        <f>ROUND(F327*G327,0)</f>
        <v>62839289</v>
      </c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</row>
    <row r="328" spans="1:19" s="46" customFormat="1" ht="126" hidden="1" x14ac:dyDescent="0.25">
      <c r="A328" s="44"/>
      <c r="B328" s="7" t="s">
        <v>363</v>
      </c>
      <c r="C328" s="20" t="s">
        <v>374</v>
      </c>
      <c r="D328" s="21" t="s">
        <v>171</v>
      </c>
      <c r="E328" s="20" t="s">
        <v>19</v>
      </c>
      <c r="F328" s="22">
        <v>2</v>
      </c>
      <c r="G328" s="40">
        <v>1034812.152</v>
      </c>
      <c r="H328" s="24">
        <f>ROUND(F328*G328,0)</f>
        <v>2069624</v>
      </c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</row>
    <row r="329" spans="1:19" s="43" customFormat="1" ht="126" hidden="1" x14ac:dyDescent="0.25">
      <c r="A329" s="41"/>
      <c r="B329" s="7" t="s">
        <v>363</v>
      </c>
      <c r="C329" s="47">
        <v>2</v>
      </c>
      <c r="D329" s="12" t="s">
        <v>375</v>
      </c>
      <c r="E329" s="31"/>
      <c r="F329" s="31"/>
      <c r="G329" s="31"/>
      <c r="H329" s="31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</row>
    <row r="330" spans="1:19" s="43" customFormat="1" ht="126" hidden="1" x14ac:dyDescent="0.25">
      <c r="A330" s="41"/>
      <c r="B330" s="7" t="s">
        <v>363</v>
      </c>
      <c r="C330" s="48">
        <v>2.1</v>
      </c>
      <c r="D330" s="12" t="s">
        <v>10</v>
      </c>
      <c r="E330" s="15"/>
      <c r="F330" s="16"/>
      <c r="G330" s="16"/>
      <c r="H330" s="17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</row>
    <row r="331" spans="1:19" s="46" customFormat="1" ht="126" hidden="1" x14ac:dyDescent="0.25">
      <c r="A331" s="44"/>
      <c r="B331" s="7" t="s">
        <v>363</v>
      </c>
      <c r="C331" s="49" t="s">
        <v>65</v>
      </c>
      <c r="D331" s="21" t="s">
        <v>376</v>
      </c>
      <c r="E331" s="20" t="s">
        <v>16</v>
      </c>
      <c r="F331" s="22">
        <v>4</v>
      </c>
      <c r="G331" s="40">
        <v>2436.3599999999997</v>
      </c>
      <c r="H331" s="24">
        <f>ROUND(F331*G331,0)</f>
        <v>9745</v>
      </c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</row>
    <row r="332" spans="1:19" s="46" customFormat="1" ht="126" hidden="1" x14ac:dyDescent="0.25">
      <c r="A332" s="44"/>
      <c r="B332" s="7" t="s">
        <v>363</v>
      </c>
      <c r="C332" s="49" t="s">
        <v>67</v>
      </c>
      <c r="D332" s="21" t="s">
        <v>377</v>
      </c>
      <c r="E332" s="20" t="s">
        <v>13</v>
      </c>
      <c r="F332" s="22">
        <v>4</v>
      </c>
      <c r="G332" s="40">
        <v>7001.9279999999999</v>
      </c>
      <c r="H332" s="24">
        <f>ROUND(F332*G332,0)</f>
        <v>28008</v>
      </c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</row>
    <row r="333" spans="1:19" s="46" customFormat="1" ht="126" hidden="1" x14ac:dyDescent="0.25">
      <c r="A333" s="44"/>
      <c r="B333" s="7" t="s">
        <v>363</v>
      </c>
      <c r="C333" s="49" t="s">
        <v>242</v>
      </c>
      <c r="D333" s="21" t="s">
        <v>153</v>
      </c>
      <c r="E333" s="20" t="s">
        <v>23</v>
      </c>
      <c r="F333" s="22">
        <v>0.84</v>
      </c>
      <c r="G333" s="40">
        <v>5493.66</v>
      </c>
      <c r="H333" s="24">
        <f>ROUND(F333*G333,0)</f>
        <v>4615</v>
      </c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</row>
    <row r="334" spans="1:19" s="46" customFormat="1" ht="126" hidden="1" x14ac:dyDescent="0.25">
      <c r="A334" s="44"/>
      <c r="B334" s="7" t="s">
        <v>363</v>
      </c>
      <c r="C334" s="49" t="s">
        <v>243</v>
      </c>
      <c r="D334" s="21" t="s">
        <v>37</v>
      </c>
      <c r="E334" s="20" t="s">
        <v>38</v>
      </c>
      <c r="F334" s="22">
        <v>98.28</v>
      </c>
      <c r="G334" s="40">
        <v>1598.328</v>
      </c>
      <c r="H334" s="24">
        <f>ROUND(F334*G334,0)</f>
        <v>157084</v>
      </c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</row>
    <row r="335" spans="1:19" s="43" customFormat="1" ht="126" hidden="1" x14ac:dyDescent="0.25">
      <c r="A335" s="41"/>
      <c r="B335" s="7" t="s">
        <v>363</v>
      </c>
      <c r="C335" s="48">
        <v>2.2000000000000002</v>
      </c>
      <c r="D335" s="12" t="s">
        <v>20</v>
      </c>
      <c r="E335" s="15"/>
      <c r="F335" s="16"/>
      <c r="G335" s="16"/>
      <c r="H335" s="17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</row>
    <row r="336" spans="1:19" s="46" customFormat="1" ht="126" hidden="1" x14ac:dyDescent="0.25">
      <c r="A336" s="44"/>
      <c r="B336" s="7" t="s">
        <v>363</v>
      </c>
      <c r="C336" s="49" t="s">
        <v>70</v>
      </c>
      <c r="D336" s="21" t="s">
        <v>210</v>
      </c>
      <c r="E336" s="20" t="s">
        <v>23</v>
      </c>
      <c r="F336" s="22">
        <v>26.46</v>
      </c>
      <c r="G336" s="40">
        <v>6763.98</v>
      </c>
      <c r="H336" s="24">
        <f>ROUND(F336*G336,0)</f>
        <v>178975</v>
      </c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</row>
    <row r="337" spans="1:19" s="46" customFormat="1" ht="126" hidden="1" x14ac:dyDescent="0.25">
      <c r="A337" s="44"/>
      <c r="B337" s="7" t="s">
        <v>363</v>
      </c>
      <c r="C337" s="49" t="s">
        <v>72</v>
      </c>
      <c r="D337" s="21" t="s">
        <v>153</v>
      </c>
      <c r="E337" s="20" t="s">
        <v>23</v>
      </c>
      <c r="F337" s="22">
        <v>26.46</v>
      </c>
      <c r="G337" s="40">
        <v>5493.66</v>
      </c>
      <c r="H337" s="24">
        <f>ROUND(F337*G337,0)</f>
        <v>145362</v>
      </c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</row>
    <row r="338" spans="1:19" s="46" customFormat="1" ht="126" hidden="1" x14ac:dyDescent="0.25">
      <c r="A338" s="44"/>
      <c r="B338" s="7" t="s">
        <v>363</v>
      </c>
      <c r="C338" s="49" t="s">
        <v>74</v>
      </c>
      <c r="D338" s="21" t="s">
        <v>37</v>
      </c>
      <c r="E338" s="20" t="s">
        <v>38</v>
      </c>
      <c r="F338" s="22">
        <v>3095.82</v>
      </c>
      <c r="G338" s="40">
        <v>1598.328</v>
      </c>
      <c r="H338" s="24">
        <f>ROUND(F338*G338,0)</f>
        <v>4948136</v>
      </c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</row>
    <row r="339" spans="1:19" s="43" customFormat="1" ht="126" hidden="1" x14ac:dyDescent="0.25">
      <c r="A339" s="41"/>
      <c r="B339" s="7" t="s">
        <v>363</v>
      </c>
      <c r="C339" s="48">
        <v>2.2999999999999998</v>
      </c>
      <c r="D339" s="12" t="s">
        <v>378</v>
      </c>
      <c r="E339" s="15"/>
      <c r="F339" s="16"/>
      <c r="G339" s="16"/>
      <c r="H339" s="17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</row>
    <row r="340" spans="1:19" s="46" customFormat="1" ht="126" hidden="1" x14ac:dyDescent="0.25">
      <c r="A340" s="44"/>
      <c r="B340" s="7" t="s">
        <v>363</v>
      </c>
      <c r="C340" s="49" t="s">
        <v>253</v>
      </c>
      <c r="D340" s="21" t="s">
        <v>379</v>
      </c>
      <c r="E340" s="20" t="s">
        <v>23</v>
      </c>
      <c r="F340" s="22">
        <v>4.71</v>
      </c>
      <c r="G340" s="40">
        <v>1574509.5</v>
      </c>
      <c r="H340" s="24">
        <f>ROUND(F340*G340,0)</f>
        <v>7415940</v>
      </c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</row>
    <row r="341" spans="1:19" s="46" customFormat="1" ht="126" hidden="1" x14ac:dyDescent="0.25">
      <c r="A341" s="44"/>
      <c r="B341" s="7" t="s">
        <v>363</v>
      </c>
      <c r="C341" s="49" t="s">
        <v>255</v>
      </c>
      <c r="D341" s="21" t="s">
        <v>380</v>
      </c>
      <c r="E341" s="20" t="s">
        <v>48</v>
      </c>
      <c r="F341" s="22">
        <v>372.62</v>
      </c>
      <c r="G341" s="40">
        <v>6597.1319999999996</v>
      </c>
      <c r="H341" s="24">
        <f>ROUND(F341*G341,0)</f>
        <v>2458223</v>
      </c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</row>
    <row r="342" spans="1:19" s="46" customFormat="1" ht="126" hidden="1" x14ac:dyDescent="0.25">
      <c r="A342" s="44"/>
      <c r="B342" s="7" t="s">
        <v>363</v>
      </c>
      <c r="C342" s="49" t="s">
        <v>256</v>
      </c>
      <c r="D342" s="21" t="s">
        <v>381</v>
      </c>
      <c r="E342" s="20" t="s">
        <v>23</v>
      </c>
      <c r="F342" s="22">
        <v>3.6</v>
      </c>
      <c r="G342" s="40">
        <v>899409.31199999992</v>
      </c>
      <c r="H342" s="24">
        <f>ROUND(F342*G342,0)</f>
        <v>3237874</v>
      </c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</row>
    <row r="343" spans="1:19" s="46" customFormat="1" ht="126" hidden="1" x14ac:dyDescent="0.25">
      <c r="A343" s="44"/>
      <c r="B343" s="7" t="s">
        <v>363</v>
      </c>
      <c r="C343" s="49" t="s">
        <v>257</v>
      </c>
      <c r="D343" s="21" t="s">
        <v>380</v>
      </c>
      <c r="E343" s="20" t="s">
        <v>48</v>
      </c>
      <c r="F343" s="22">
        <v>408.09</v>
      </c>
      <c r="G343" s="40">
        <v>6597.1319999999996</v>
      </c>
      <c r="H343" s="24">
        <f>ROUND(F343*G343,0)</f>
        <v>2692224</v>
      </c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</row>
    <row r="344" spans="1:19" s="46" customFormat="1" ht="126" hidden="1" x14ac:dyDescent="0.25">
      <c r="A344" s="44"/>
      <c r="B344" s="7" t="s">
        <v>363</v>
      </c>
      <c r="C344" s="49" t="s">
        <v>382</v>
      </c>
      <c r="D344" s="21" t="s">
        <v>383</v>
      </c>
      <c r="E344" s="20" t="s">
        <v>23</v>
      </c>
      <c r="F344" s="22">
        <v>2.8</v>
      </c>
      <c r="G344" s="40">
        <v>939439.55999999994</v>
      </c>
      <c r="H344" s="24">
        <f>ROUND(F344*G344,0)</f>
        <v>2630431</v>
      </c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</row>
    <row r="345" spans="1:19" s="46" customFormat="1" ht="126" hidden="1" x14ac:dyDescent="0.25">
      <c r="A345" s="44"/>
      <c r="B345" s="7" t="s">
        <v>363</v>
      </c>
      <c r="C345" s="49" t="s">
        <v>384</v>
      </c>
      <c r="D345" s="21" t="s">
        <v>380</v>
      </c>
      <c r="E345" s="20" t="s">
        <v>48</v>
      </c>
      <c r="F345" s="22">
        <v>241.44</v>
      </c>
      <c r="G345" s="40">
        <v>6597.1319999999996</v>
      </c>
      <c r="H345" s="24">
        <f>ROUND(F345*G345,0)</f>
        <v>1592812</v>
      </c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</row>
    <row r="346" spans="1:19" s="46" customFormat="1" ht="126" hidden="1" x14ac:dyDescent="0.25">
      <c r="A346" s="44"/>
      <c r="B346" s="7" t="s">
        <v>363</v>
      </c>
      <c r="C346" s="49" t="s">
        <v>385</v>
      </c>
      <c r="D346" s="21" t="s">
        <v>27</v>
      </c>
      <c r="E346" s="20" t="s">
        <v>23</v>
      </c>
      <c r="F346" s="22">
        <v>27.41</v>
      </c>
      <c r="G346" s="40">
        <v>69488.399999999994</v>
      </c>
      <c r="H346" s="24">
        <f>ROUND(F346*G346,0)</f>
        <v>1904677</v>
      </c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</row>
    <row r="347" spans="1:19" s="43" customFormat="1" ht="126" hidden="1" x14ac:dyDescent="0.25">
      <c r="A347" s="41"/>
      <c r="B347" s="7" t="s">
        <v>363</v>
      </c>
      <c r="C347" s="47">
        <v>3</v>
      </c>
      <c r="D347" s="12" t="s">
        <v>386</v>
      </c>
      <c r="E347" s="31"/>
      <c r="F347" s="31"/>
      <c r="G347" s="31"/>
      <c r="H347" s="31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</row>
    <row r="348" spans="1:19" s="46" customFormat="1" ht="126" hidden="1" x14ac:dyDescent="0.25">
      <c r="A348" s="44"/>
      <c r="B348" s="7" t="s">
        <v>363</v>
      </c>
      <c r="C348" s="50">
        <v>3.1</v>
      </c>
      <c r="D348" s="21" t="s">
        <v>210</v>
      </c>
      <c r="E348" s="20" t="s">
        <v>23</v>
      </c>
      <c r="F348" s="22">
        <v>1.6</v>
      </c>
      <c r="G348" s="40">
        <v>6763.98</v>
      </c>
      <c r="H348" s="24">
        <f>ROUND(F348*G348,0)</f>
        <v>10822</v>
      </c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</row>
    <row r="349" spans="1:19" s="46" customFormat="1" ht="126" hidden="1" x14ac:dyDescent="0.25">
      <c r="A349" s="44"/>
      <c r="B349" s="7" t="s">
        <v>363</v>
      </c>
      <c r="C349" s="50">
        <v>3.2</v>
      </c>
      <c r="D349" s="21" t="s">
        <v>153</v>
      </c>
      <c r="E349" s="20" t="s">
        <v>23</v>
      </c>
      <c r="F349" s="22">
        <v>1.68</v>
      </c>
      <c r="G349" s="40">
        <v>5493.66</v>
      </c>
      <c r="H349" s="24">
        <f>ROUND(F349*G349,0)</f>
        <v>9229</v>
      </c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</row>
    <row r="350" spans="1:19" s="46" customFormat="1" ht="126" hidden="1" x14ac:dyDescent="0.25">
      <c r="A350" s="44"/>
      <c r="B350" s="7" t="s">
        <v>363</v>
      </c>
      <c r="C350" s="50">
        <v>3.3</v>
      </c>
      <c r="D350" s="21" t="s">
        <v>37</v>
      </c>
      <c r="E350" s="20" t="s">
        <v>38</v>
      </c>
      <c r="F350" s="22">
        <v>196.56</v>
      </c>
      <c r="G350" s="40">
        <v>1598.328</v>
      </c>
      <c r="H350" s="24">
        <f>ROUND(F350*G350,0)</f>
        <v>314167</v>
      </c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</row>
    <row r="351" spans="1:19" s="46" customFormat="1" ht="126" hidden="1" x14ac:dyDescent="0.25">
      <c r="A351" s="44"/>
      <c r="B351" s="7" t="s">
        <v>363</v>
      </c>
      <c r="C351" s="50">
        <v>3.4</v>
      </c>
      <c r="D351" s="21" t="s">
        <v>27</v>
      </c>
      <c r="E351" s="20" t="s">
        <v>23</v>
      </c>
      <c r="F351" s="22">
        <v>1.2</v>
      </c>
      <c r="G351" s="40">
        <v>69488.399999999994</v>
      </c>
      <c r="H351" s="24">
        <f>ROUND(F351*G351,0)</f>
        <v>83386</v>
      </c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</row>
    <row r="352" spans="1:19" s="46" customFormat="1" ht="126" hidden="1" x14ac:dyDescent="0.25">
      <c r="A352" s="44"/>
      <c r="B352" s="7" t="s">
        <v>363</v>
      </c>
      <c r="C352" s="50">
        <v>3.5</v>
      </c>
      <c r="D352" s="21" t="s">
        <v>250</v>
      </c>
      <c r="E352" s="20" t="s">
        <v>13</v>
      </c>
      <c r="F352" s="22">
        <v>4</v>
      </c>
      <c r="G352" s="40">
        <v>10453.596</v>
      </c>
      <c r="H352" s="24">
        <f>ROUND(F352*G352,0)</f>
        <v>41814</v>
      </c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</row>
    <row r="353" spans="1:19" s="46" customFormat="1" ht="126" hidden="1" x14ac:dyDescent="0.25">
      <c r="A353" s="44"/>
      <c r="B353" s="7" t="s">
        <v>363</v>
      </c>
      <c r="C353" s="50">
        <v>3.6</v>
      </c>
      <c r="D353" s="21" t="s">
        <v>387</v>
      </c>
      <c r="E353" s="20" t="s">
        <v>13</v>
      </c>
      <c r="F353" s="22">
        <v>4</v>
      </c>
      <c r="G353" s="40">
        <v>4026.1559999999999</v>
      </c>
      <c r="H353" s="24">
        <f>ROUND(F353*G353,0)</f>
        <v>16105</v>
      </c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</row>
    <row r="354" spans="1:19" s="46" customFormat="1" ht="126" hidden="1" x14ac:dyDescent="0.25">
      <c r="A354" s="44"/>
      <c r="B354" s="7" t="s">
        <v>363</v>
      </c>
      <c r="C354" s="50">
        <v>3.7</v>
      </c>
      <c r="D354" s="21" t="s">
        <v>388</v>
      </c>
      <c r="E354" s="20" t="s">
        <v>38</v>
      </c>
      <c r="F354" s="22">
        <v>12</v>
      </c>
      <c r="G354" s="40">
        <v>1598.328</v>
      </c>
      <c r="H354" s="24">
        <f>ROUND(F354*G354,0)</f>
        <v>19180</v>
      </c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</row>
    <row r="355" spans="1:19" s="46" customFormat="1" ht="126" hidden="1" x14ac:dyDescent="0.25">
      <c r="A355" s="44"/>
      <c r="B355" s="7" t="s">
        <v>363</v>
      </c>
      <c r="C355" s="50">
        <v>3.8</v>
      </c>
      <c r="D355" s="21" t="s">
        <v>389</v>
      </c>
      <c r="E355" s="20" t="s">
        <v>13</v>
      </c>
      <c r="F355" s="22">
        <v>4</v>
      </c>
      <c r="G355" s="40">
        <v>107773.37999999999</v>
      </c>
      <c r="H355" s="24">
        <f>ROUND(F355*G355,0)</f>
        <v>431094</v>
      </c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</row>
    <row r="356" spans="1:19" s="46" customFormat="1" ht="126" hidden="1" x14ac:dyDescent="0.25">
      <c r="A356" s="44"/>
      <c r="B356" s="7" t="s">
        <v>363</v>
      </c>
      <c r="C356" s="50">
        <v>3.9</v>
      </c>
      <c r="D356" s="21" t="s">
        <v>47</v>
      </c>
      <c r="E356" s="20" t="s">
        <v>48</v>
      </c>
      <c r="F356" s="22">
        <v>14.87</v>
      </c>
      <c r="G356" s="40">
        <v>7816.2599999999993</v>
      </c>
      <c r="H356" s="24">
        <f>ROUND(F356*G356,0)</f>
        <v>116228</v>
      </c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</row>
    <row r="357" spans="1:19" s="46" customFormat="1" ht="126" hidden="1" x14ac:dyDescent="0.25">
      <c r="A357" s="44"/>
      <c r="B357" s="7" t="s">
        <v>363</v>
      </c>
      <c r="C357" s="49" t="s">
        <v>390</v>
      </c>
      <c r="D357" s="21" t="s">
        <v>391</v>
      </c>
      <c r="E357" s="20" t="s">
        <v>16</v>
      </c>
      <c r="F357" s="22">
        <v>2</v>
      </c>
      <c r="G357" s="40">
        <v>46338.239999999998</v>
      </c>
      <c r="H357" s="24">
        <f>ROUND(F357*G357,0)</f>
        <v>92676</v>
      </c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</row>
    <row r="358" spans="1:19" s="43" customFormat="1" ht="126" hidden="1" x14ac:dyDescent="0.25">
      <c r="A358" s="41"/>
      <c r="B358" s="7" t="s">
        <v>363</v>
      </c>
      <c r="C358" s="47">
        <v>4</v>
      </c>
      <c r="D358" s="12" t="s">
        <v>392</v>
      </c>
      <c r="E358" s="31"/>
      <c r="F358" s="31"/>
      <c r="G358" s="31"/>
      <c r="H358" s="31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</row>
    <row r="359" spans="1:19" s="43" customFormat="1" ht="126" hidden="1" x14ac:dyDescent="0.25">
      <c r="A359" s="41"/>
      <c r="B359" s="7" t="s">
        <v>363</v>
      </c>
      <c r="C359" s="48">
        <v>4.0999999999999996</v>
      </c>
      <c r="D359" s="12" t="s">
        <v>10</v>
      </c>
      <c r="E359" s="15"/>
      <c r="F359" s="16"/>
      <c r="G359" s="16"/>
      <c r="H359" s="17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</row>
    <row r="360" spans="1:19" s="46" customFormat="1" ht="126" hidden="1" x14ac:dyDescent="0.25">
      <c r="A360" s="44"/>
      <c r="B360" s="7" t="s">
        <v>363</v>
      </c>
      <c r="C360" s="49" t="s">
        <v>80</v>
      </c>
      <c r="D360" s="21" t="s">
        <v>393</v>
      </c>
      <c r="E360" s="20" t="s">
        <v>13</v>
      </c>
      <c r="F360" s="22">
        <v>186.33</v>
      </c>
      <c r="G360" s="40">
        <v>1968.9959999999999</v>
      </c>
      <c r="H360" s="24">
        <f>ROUND(F360*G360,0)</f>
        <v>366883</v>
      </c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</row>
    <row r="361" spans="1:19" s="46" customFormat="1" ht="126" hidden="1" x14ac:dyDescent="0.25">
      <c r="A361" s="44"/>
      <c r="B361" s="7" t="s">
        <v>363</v>
      </c>
      <c r="C361" s="49" t="s">
        <v>82</v>
      </c>
      <c r="D361" s="21" t="s">
        <v>394</v>
      </c>
      <c r="E361" s="20" t="s">
        <v>19</v>
      </c>
      <c r="F361" s="22">
        <v>1</v>
      </c>
      <c r="G361" s="40">
        <v>194225.29199999999</v>
      </c>
      <c r="H361" s="24">
        <f>ROUND(F361*G361,0)</f>
        <v>194225</v>
      </c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</row>
    <row r="362" spans="1:19" s="46" customFormat="1" ht="126" hidden="1" x14ac:dyDescent="0.25">
      <c r="A362" s="44"/>
      <c r="B362" s="7" t="s">
        <v>363</v>
      </c>
      <c r="C362" s="49" t="s">
        <v>84</v>
      </c>
      <c r="D362" s="21" t="s">
        <v>395</v>
      </c>
      <c r="E362" s="20" t="s">
        <v>13</v>
      </c>
      <c r="F362" s="22">
        <v>186.33</v>
      </c>
      <c r="G362" s="40">
        <v>4284.0119999999997</v>
      </c>
      <c r="H362" s="24">
        <f>ROUND(F362*G362,0)</f>
        <v>798240</v>
      </c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</row>
    <row r="363" spans="1:19" s="46" customFormat="1" ht="126" hidden="1" x14ac:dyDescent="0.25">
      <c r="A363" s="44"/>
      <c r="B363" s="7" t="s">
        <v>363</v>
      </c>
      <c r="C363" s="49" t="s">
        <v>86</v>
      </c>
      <c r="D363" s="21" t="s">
        <v>153</v>
      </c>
      <c r="E363" s="20" t="s">
        <v>23</v>
      </c>
      <c r="F363" s="22">
        <v>0.24</v>
      </c>
      <c r="G363" s="40">
        <v>5493.66</v>
      </c>
      <c r="H363" s="24">
        <f>ROUND(F363*G363,0)</f>
        <v>1318</v>
      </c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</row>
    <row r="364" spans="1:19" s="46" customFormat="1" ht="126" hidden="1" x14ac:dyDescent="0.25">
      <c r="A364" s="44"/>
      <c r="B364" s="7" t="s">
        <v>363</v>
      </c>
      <c r="C364" s="49" t="s">
        <v>88</v>
      </c>
      <c r="D364" s="21" t="s">
        <v>37</v>
      </c>
      <c r="E364" s="20" t="s">
        <v>38</v>
      </c>
      <c r="F364" s="22">
        <v>28.08</v>
      </c>
      <c r="G364" s="40">
        <v>1598.328</v>
      </c>
      <c r="H364" s="24">
        <f>ROUND(F364*G364,0)</f>
        <v>44881</v>
      </c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</row>
    <row r="365" spans="1:19" s="43" customFormat="1" ht="126" hidden="1" x14ac:dyDescent="0.25">
      <c r="A365" s="41"/>
      <c r="B365" s="7" t="s">
        <v>363</v>
      </c>
      <c r="C365" s="48">
        <v>4.2</v>
      </c>
      <c r="D365" s="12" t="s">
        <v>396</v>
      </c>
      <c r="E365" s="15"/>
      <c r="F365" s="16"/>
      <c r="G365" s="16"/>
      <c r="H365" s="17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</row>
    <row r="366" spans="1:19" s="46" customFormat="1" ht="126" hidden="1" x14ac:dyDescent="0.25">
      <c r="A366" s="44"/>
      <c r="B366" s="7" t="s">
        <v>363</v>
      </c>
      <c r="C366" s="49" t="s">
        <v>91</v>
      </c>
      <c r="D366" s="21" t="s">
        <v>397</v>
      </c>
      <c r="E366" s="20" t="s">
        <v>398</v>
      </c>
      <c r="F366" s="22">
        <v>80</v>
      </c>
      <c r="G366" s="40">
        <v>16136.856</v>
      </c>
      <c r="H366" s="24">
        <f>ROUND(F366*G366,0)</f>
        <v>1290948</v>
      </c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</row>
    <row r="367" spans="1:19" s="43" customFormat="1" ht="126" hidden="1" x14ac:dyDescent="0.25">
      <c r="A367" s="41"/>
      <c r="B367" s="7" t="s">
        <v>363</v>
      </c>
      <c r="C367" s="48">
        <v>4.3</v>
      </c>
      <c r="D367" s="12" t="s">
        <v>43</v>
      </c>
      <c r="E367" s="15"/>
      <c r="F367" s="16"/>
      <c r="G367" s="16"/>
      <c r="H367" s="17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</row>
    <row r="368" spans="1:19" s="46" customFormat="1" ht="126" hidden="1" x14ac:dyDescent="0.25">
      <c r="A368" s="44"/>
      <c r="B368" s="7" t="s">
        <v>363</v>
      </c>
      <c r="C368" s="49" t="s">
        <v>94</v>
      </c>
      <c r="D368" s="21" t="s">
        <v>399</v>
      </c>
      <c r="E368" s="20" t="s">
        <v>13</v>
      </c>
      <c r="F368" s="22">
        <v>186.33</v>
      </c>
      <c r="G368" s="40">
        <v>325054.03200000001</v>
      </c>
      <c r="H368" s="24">
        <f>ROUND(F368*G368,0)</f>
        <v>60567318</v>
      </c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</row>
    <row r="369" spans="1:19" s="43" customFormat="1" ht="126" hidden="1" x14ac:dyDescent="0.25">
      <c r="A369" s="41"/>
      <c r="B369" s="7" t="s">
        <v>363</v>
      </c>
      <c r="C369" s="48">
        <v>4.4000000000000004</v>
      </c>
      <c r="D369" s="12" t="s">
        <v>400</v>
      </c>
      <c r="E369" s="15"/>
      <c r="F369" s="16"/>
      <c r="G369" s="16"/>
      <c r="H369" s="17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</row>
    <row r="370" spans="1:19" s="46" customFormat="1" ht="126" hidden="1" x14ac:dyDescent="0.25">
      <c r="A370" s="44"/>
      <c r="B370" s="7" t="s">
        <v>363</v>
      </c>
      <c r="C370" s="49" t="s">
        <v>105</v>
      </c>
      <c r="D370" s="21" t="s">
        <v>401</v>
      </c>
      <c r="E370" s="20" t="s">
        <v>19</v>
      </c>
      <c r="F370" s="22">
        <v>1</v>
      </c>
      <c r="G370" s="40">
        <v>33303230.52</v>
      </c>
      <c r="H370" s="24">
        <f>ROUND(F370*G370,0)</f>
        <v>33303231</v>
      </c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</row>
    <row r="371" spans="1:19" s="46" customFormat="1" ht="126" hidden="1" x14ac:dyDescent="0.25">
      <c r="A371" s="44"/>
      <c r="B371" s="7" t="s">
        <v>363</v>
      </c>
      <c r="C371" s="49" t="s">
        <v>107</v>
      </c>
      <c r="D371" s="21" t="s">
        <v>402</v>
      </c>
      <c r="E371" s="20" t="s">
        <v>19</v>
      </c>
      <c r="F371" s="22">
        <v>1</v>
      </c>
      <c r="G371" s="40">
        <v>46704168</v>
      </c>
      <c r="H371" s="24">
        <f>ROUND(F371*G371,0)</f>
        <v>46704168</v>
      </c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</row>
    <row r="372" spans="1:19" s="46" customFormat="1" ht="126" hidden="1" x14ac:dyDescent="0.25">
      <c r="A372" s="44"/>
      <c r="B372" s="7" t="s">
        <v>363</v>
      </c>
      <c r="C372" s="49" t="s">
        <v>403</v>
      </c>
      <c r="D372" s="21" t="s">
        <v>404</v>
      </c>
      <c r="E372" s="20" t="s">
        <v>19</v>
      </c>
      <c r="F372" s="22">
        <v>1</v>
      </c>
      <c r="G372" s="40">
        <v>565683.924</v>
      </c>
      <c r="H372" s="24">
        <f>ROUND(F372*G372,0)</f>
        <v>565684</v>
      </c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</row>
    <row r="373" spans="1:19" s="43" customFormat="1" ht="126" hidden="1" x14ac:dyDescent="0.25">
      <c r="A373" s="41"/>
      <c r="B373" s="7" t="s">
        <v>363</v>
      </c>
      <c r="C373" s="47">
        <v>5</v>
      </c>
      <c r="D373" s="12" t="s">
        <v>405</v>
      </c>
      <c r="E373" s="31"/>
      <c r="F373" s="31"/>
      <c r="G373" s="31"/>
      <c r="H373" s="31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</row>
    <row r="374" spans="1:19" s="43" customFormat="1" ht="126" hidden="1" x14ac:dyDescent="0.25">
      <c r="A374" s="41"/>
      <c r="B374" s="7" t="s">
        <v>363</v>
      </c>
      <c r="C374" s="48">
        <v>5.0999999999999996</v>
      </c>
      <c r="D374" s="12" t="s">
        <v>10</v>
      </c>
      <c r="E374" s="15"/>
      <c r="F374" s="16"/>
      <c r="G374" s="16"/>
      <c r="H374" s="17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</row>
    <row r="375" spans="1:19" s="46" customFormat="1" ht="126" hidden="1" x14ac:dyDescent="0.25">
      <c r="A375" s="44"/>
      <c r="B375" s="7" t="s">
        <v>363</v>
      </c>
      <c r="C375" s="49" t="s">
        <v>406</v>
      </c>
      <c r="D375" s="21" t="s">
        <v>273</v>
      </c>
      <c r="E375" s="20" t="s">
        <v>16</v>
      </c>
      <c r="F375" s="22">
        <v>85.77</v>
      </c>
      <c r="G375" s="40">
        <v>2160.4919999999997</v>
      </c>
      <c r="H375" s="24">
        <f>ROUND(F375*G375,0)</f>
        <v>185305</v>
      </c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</row>
    <row r="376" spans="1:19" s="43" customFormat="1" ht="126" hidden="1" x14ac:dyDescent="0.25">
      <c r="A376" s="41"/>
      <c r="B376" s="7" t="s">
        <v>363</v>
      </c>
      <c r="C376" s="48">
        <v>5.2</v>
      </c>
      <c r="D376" s="12" t="s">
        <v>208</v>
      </c>
      <c r="E376" s="15"/>
      <c r="F376" s="16"/>
      <c r="G376" s="16"/>
      <c r="H376" s="17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</row>
    <row r="377" spans="1:19" s="46" customFormat="1" ht="126" hidden="1" x14ac:dyDescent="0.25">
      <c r="A377" s="44"/>
      <c r="B377" s="7" t="s">
        <v>363</v>
      </c>
      <c r="C377" s="49" t="s">
        <v>407</v>
      </c>
      <c r="D377" s="21" t="s">
        <v>22</v>
      </c>
      <c r="E377" s="20" t="s">
        <v>23</v>
      </c>
      <c r="F377" s="22">
        <v>38.68</v>
      </c>
      <c r="G377" s="40">
        <v>27462.611999999997</v>
      </c>
      <c r="H377" s="24">
        <f>ROUND(F377*G377,0)</f>
        <v>1062254</v>
      </c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</row>
    <row r="378" spans="1:19" s="46" customFormat="1" ht="126" hidden="1" x14ac:dyDescent="0.25">
      <c r="A378" s="44"/>
      <c r="B378" s="7" t="s">
        <v>363</v>
      </c>
      <c r="C378" s="49" t="s">
        <v>408</v>
      </c>
      <c r="D378" s="21" t="s">
        <v>153</v>
      </c>
      <c r="E378" s="20" t="s">
        <v>23</v>
      </c>
      <c r="F378" s="22">
        <v>38.68</v>
      </c>
      <c r="G378" s="40">
        <v>5493.66</v>
      </c>
      <c r="H378" s="24">
        <f>ROUND(F378*G378,0)</f>
        <v>212495</v>
      </c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</row>
    <row r="379" spans="1:19" s="46" customFormat="1" ht="126" hidden="1" x14ac:dyDescent="0.25">
      <c r="A379" s="44"/>
      <c r="B379" s="7" t="s">
        <v>363</v>
      </c>
      <c r="C379" s="49" t="s">
        <v>409</v>
      </c>
      <c r="D379" s="21" t="s">
        <v>211</v>
      </c>
      <c r="E379" s="20" t="s">
        <v>38</v>
      </c>
      <c r="F379" s="22">
        <v>302.31</v>
      </c>
      <c r="G379" s="40">
        <v>1598.328</v>
      </c>
      <c r="H379" s="24">
        <f>ROUND(F379*G379,0)</f>
        <v>483191</v>
      </c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</row>
    <row r="380" spans="1:19" s="46" customFormat="1" ht="126" hidden="1" x14ac:dyDescent="0.25">
      <c r="A380" s="44"/>
      <c r="B380" s="7" t="s">
        <v>363</v>
      </c>
      <c r="C380" s="49" t="s">
        <v>410</v>
      </c>
      <c r="D380" s="21" t="s">
        <v>155</v>
      </c>
      <c r="E380" s="20" t="s">
        <v>23</v>
      </c>
      <c r="F380" s="22">
        <v>30.24</v>
      </c>
      <c r="G380" s="40">
        <v>99984.611999999994</v>
      </c>
      <c r="H380" s="24">
        <f>ROUND(F380*G380,0)</f>
        <v>3023535</v>
      </c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</row>
    <row r="381" spans="1:19" s="46" customFormat="1" ht="126" hidden="1" x14ac:dyDescent="0.25">
      <c r="A381" s="44"/>
      <c r="B381" s="7" t="s">
        <v>363</v>
      </c>
      <c r="C381" s="49" t="s">
        <v>411</v>
      </c>
      <c r="D381" s="21" t="s">
        <v>201</v>
      </c>
      <c r="E381" s="20" t="s">
        <v>23</v>
      </c>
      <c r="F381" s="22">
        <v>1.5</v>
      </c>
      <c r="G381" s="40">
        <v>13300.439999999999</v>
      </c>
      <c r="H381" s="24">
        <f>ROUND(F381*G381,0)</f>
        <v>19951</v>
      </c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</row>
    <row r="382" spans="1:19" s="43" customFormat="1" ht="126" hidden="1" x14ac:dyDescent="0.25">
      <c r="A382" s="41"/>
      <c r="B382" s="7" t="s">
        <v>363</v>
      </c>
      <c r="C382" s="48">
        <v>5.3</v>
      </c>
      <c r="D382" s="12" t="s">
        <v>281</v>
      </c>
      <c r="E382" s="15"/>
      <c r="F382" s="16"/>
      <c r="G382" s="16"/>
      <c r="H382" s="17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</row>
    <row r="383" spans="1:19" s="46" customFormat="1" ht="126" hidden="1" x14ac:dyDescent="0.25">
      <c r="A383" s="44"/>
      <c r="B383" s="7" t="s">
        <v>363</v>
      </c>
      <c r="C383" s="49" t="s">
        <v>412</v>
      </c>
      <c r="D383" s="21" t="s">
        <v>291</v>
      </c>
      <c r="E383" s="20" t="s">
        <v>16</v>
      </c>
      <c r="F383" s="22">
        <v>85.77</v>
      </c>
      <c r="G383" s="40">
        <v>92958.035999999993</v>
      </c>
      <c r="H383" s="24">
        <f>ROUND(F383*G383,0)</f>
        <v>7973011</v>
      </c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</row>
    <row r="384" spans="1:19" s="46" customFormat="1" ht="126" hidden="1" x14ac:dyDescent="0.25">
      <c r="A384" s="44"/>
      <c r="B384" s="7" t="s">
        <v>363</v>
      </c>
      <c r="C384" s="49" t="s">
        <v>413</v>
      </c>
      <c r="D384" s="21" t="s">
        <v>414</v>
      </c>
      <c r="E384" s="20" t="s">
        <v>19</v>
      </c>
      <c r="F384" s="22">
        <v>1</v>
      </c>
      <c r="G384" s="40">
        <v>977187.02399999998</v>
      </c>
      <c r="H384" s="24">
        <f>ROUND(F384*G384,0)</f>
        <v>977187</v>
      </c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</row>
    <row r="385" spans="1:19" s="46" customFormat="1" ht="126" hidden="1" x14ac:dyDescent="0.25">
      <c r="A385" s="44"/>
      <c r="B385" s="7" t="s">
        <v>363</v>
      </c>
      <c r="C385" s="49" t="s">
        <v>415</v>
      </c>
      <c r="D385" s="21" t="s">
        <v>416</v>
      </c>
      <c r="E385" s="20" t="s">
        <v>19</v>
      </c>
      <c r="F385" s="22">
        <v>1</v>
      </c>
      <c r="G385" s="40">
        <v>340761.44399999996</v>
      </c>
      <c r="H385" s="24">
        <f>ROUND(F385*G385,0)</f>
        <v>340761</v>
      </c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</row>
    <row r="386" spans="1:19" s="46" customFormat="1" ht="126" hidden="1" x14ac:dyDescent="0.25">
      <c r="A386" s="44"/>
      <c r="B386" s="7" t="s">
        <v>363</v>
      </c>
      <c r="C386" s="49" t="s">
        <v>417</v>
      </c>
      <c r="D386" s="21" t="s">
        <v>418</v>
      </c>
      <c r="E386" s="20" t="s">
        <v>16</v>
      </c>
      <c r="F386" s="22">
        <v>70</v>
      </c>
      <c r="G386" s="40">
        <v>325912.92</v>
      </c>
      <c r="H386" s="24">
        <f>ROUND(F386*G386,0)</f>
        <v>22813904</v>
      </c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</row>
    <row r="387" spans="1:19" s="46" customFormat="1" ht="126" hidden="1" x14ac:dyDescent="0.25">
      <c r="A387" s="44"/>
      <c r="B387" s="7" t="s">
        <v>363</v>
      </c>
      <c r="C387" s="49" t="s">
        <v>419</v>
      </c>
      <c r="D387" s="21" t="s">
        <v>157</v>
      </c>
      <c r="E387" s="20" t="s">
        <v>13</v>
      </c>
      <c r="F387" s="22">
        <v>257.92</v>
      </c>
      <c r="G387" s="40">
        <v>10586.315999999999</v>
      </c>
      <c r="H387" s="24">
        <f>ROUND(F387*G387,0)</f>
        <v>2730423</v>
      </c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</row>
    <row r="388" spans="1:19" s="43" customFormat="1" ht="126" hidden="1" x14ac:dyDescent="0.25">
      <c r="A388" s="41"/>
      <c r="B388" s="7" t="s">
        <v>363</v>
      </c>
      <c r="C388" s="47">
        <v>6</v>
      </c>
      <c r="D388" s="33" t="s">
        <v>296</v>
      </c>
      <c r="E388" s="31"/>
      <c r="F388" s="31"/>
      <c r="G388" s="31"/>
      <c r="H388" s="31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</row>
    <row r="389" spans="1:19" s="43" customFormat="1" ht="126" hidden="1" x14ac:dyDescent="0.25">
      <c r="A389" s="41"/>
      <c r="B389" s="7" t="s">
        <v>363</v>
      </c>
      <c r="C389" s="13">
        <v>6.1</v>
      </c>
      <c r="D389" s="12" t="s">
        <v>420</v>
      </c>
      <c r="E389" s="15"/>
      <c r="F389" s="16"/>
      <c r="G389" s="16"/>
      <c r="H389" s="17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</row>
    <row r="390" spans="1:19" s="46" customFormat="1" ht="126" hidden="1" x14ac:dyDescent="0.25">
      <c r="A390" s="44"/>
      <c r="B390" s="7" t="s">
        <v>363</v>
      </c>
      <c r="C390" s="20" t="s">
        <v>421</v>
      </c>
      <c r="D390" s="21" t="s">
        <v>300</v>
      </c>
      <c r="E390" s="20" t="s">
        <v>19</v>
      </c>
      <c r="F390" s="22">
        <v>6</v>
      </c>
      <c r="G390" s="40">
        <v>63291.324000000001</v>
      </c>
      <c r="H390" s="24">
        <f>ROUND(F390*G390,0)</f>
        <v>379748</v>
      </c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</row>
    <row r="391" spans="1:19" s="46" customFormat="1" ht="126" hidden="1" x14ac:dyDescent="0.25">
      <c r="A391" s="44"/>
      <c r="B391" s="7" t="s">
        <v>363</v>
      </c>
      <c r="C391" s="20" t="s">
        <v>422</v>
      </c>
      <c r="D391" s="21" t="s">
        <v>423</v>
      </c>
      <c r="E391" s="20" t="s">
        <v>19</v>
      </c>
      <c r="F391" s="22">
        <v>6</v>
      </c>
      <c r="G391" s="40">
        <v>4205409.5279999999</v>
      </c>
      <c r="H391" s="24">
        <f>ROUND(F391*G391,0)</f>
        <v>25232457</v>
      </c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</row>
    <row r="392" spans="1:19" s="46" customFormat="1" ht="126" hidden="1" x14ac:dyDescent="0.25">
      <c r="A392" s="44"/>
      <c r="B392" s="7" t="s">
        <v>363</v>
      </c>
      <c r="C392" s="20" t="s">
        <v>424</v>
      </c>
      <c r="D392" s="21" t="s">
        <v>304</v>
      </c>
      <c r="E392" s="20" t="s">
        <v>19</v>
      </c>
      <c r="F392" s="22">
        <v>6</v>
      </c>
      <c r="G392" s="40">
        <v>106297.344</v>
      </c>
      <c r="H392" s="24">
        <f>ROUND(F392*G392,0)</f>
        <v>637784</v>
      </c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</row>
    <row r="393" spans="1:19" s="46" customFormat="1" ht="126" hidden="1" x14ac:dyDescent="0.25">
      <c r="A393" s="44"/>
      <c r="B393" s="7" t="s">
        <v>363</v>
      </c>
      <c r="C393" s="20" t="s">
        <v>425</v>
      </c>
      <c r="D393" s="21" t="s">
        <v>426</v>
      </c>
      <c r="E393" s="20" t="s">
        <v>19</v>
      </c>
      <c r="F393" s="22">
        <v>1</v>
      </c>
      <c r="G393" s="40">
        <v>2471284.3199999998</v>
      </c>
      <c r="H393" s="24">
        <f>ROUND(F393*G393,0)</f>
        <v>2471284</v>
      </c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</row>
    <row r="394" spans="1:19" s="46" customFormat="1" ht="126" hidden="1" x14ac:dyDescent="0.25">
      <c r="A394" s="44"/>
      <c r="B394" s="7" t="s">
        <v>363</v>
      </c>
      <c r="C394" s="20" t="s">
        <v>427</v>
      </c>
      <c r="D394" s="21" t="s">
        <v>428</v>
      </c>
      <c r="E394" s="20" t="s">
        <v>19</v>
      </c>
      <c r="F394" s="22">
        <v>1</v>
      </c>
      <c r="G394" s="40">
        <v>6997227.8159999996</v>
      </c>
      <c r="H394" s="24">
        <f>ROUND(F394*G394,0)</f>
        <v>6997228</v>
      </c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</row>
    <row r="395" spans="1:19" s="46" customFormat="1" ht="126" hidden="1" x14ac:dyDescent="0.25">
      <c r="A395" s="44"/>
      <c r="B395" s="7" t="s">
        <v>363</v>
      </c>
      <c r="C395" s="20" t="s">
        <v>429</v>
      </c>
      <c r="D395" s="21" t="s">
        <v>430</v>
      </c>
      <c r="E395" s="20" t="s">
        <v>19</v>
      </c>
      <c r="F395" s="22">
        <v>1</v>
      </c>
      <c r="G395" s="40">
        <v>693424.08</v>
      </c>
      <c r="H395" s="24">
        <f>ROUND(F395*G395,0)</f>
        <v>693424</v>
      </c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</row>
    <row r="396" spans="1:19" s="46" customFormat="1" ht="126" hidden="1" x14ac:dyDescent="0.25">
      <c r="A396" s="44"/>
      <c r="B396" s="7" t="s">
        <v>363</v>
      </c>
      <c r="C396" s="20" t="s">
        <v>431</v>
      </c>
      <c r="D396" s="21" t="s">
        <v>432</v>
      </c>
      <c r="E396" s="20" t="s">
        <v>19</v>
      </c>
      <c r="F396" s="22">
        <v>1</v>
      </c>
      <c r="G396" s="40">
        <v>350750.51999999996</v>
      </c>
      <c r="H396" s="24">
        <f>ROUND(F396*G396,0)</f>
        <v>350751</v>
      </c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</row>
    <row r="397" spans="1:19" s="46" customFormat="1" ht="126" hidden="1" x14ac:dyDescent="0.25">
      <c r="A397" s="44"/>
      <c r="B397" s="7" t="s">
        <v>363</v>
      </c>
      <c r="C397" s="20" t="s">
        <v>433</v>
      </c>
      <c r="D397" s="21" t="s">
        <v>310</v>
      </c>
      <c r="E397" s="20" t="s">
        <v>19</v>
      </c>
      <c r="F397" s="22">
        <v>10</v>
      </c>
      <c r="G397" s="40">
        <v>858895.58399999992</v>
      </c>
      <c r="H397" s="24">
        <f>ROUND(F397*G397,0)</f>
        <v>8588956</v>
      </c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</row>
    <row r="398" spans="1:19" s="46" customFormat="1" ht="126" hidden="1" x14ac:dyDescent="0.25">
      <c r="A398" s="44"/>
      <c r="B398" s="7" t="s">
        <v>363</v>
      </c>
      <c r="C398" s="20" t="s">
        <v>434</v>
      </c>
      <c r="D398" s="21" t="s">
        <v>435</v>
      </c>
      <c r="E398" s="20" t="s">
        <v>19</v>
      </c>
      <c r="F398" s="22">
        <v>15</v>
      </c>
      <c r="G398" s="40">
        <v>407153.67599999998</v>
      </c>
      <c r="H398" s="24">
        <f>ROUND(F398*G398,0)</f>
        <v>6107305</v>
      </c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</row>
    <row r="399" spans="1:19" s="46" customFormat="1" ht="126" hidden="1" x14ac:dyDescent="0.25">
      <c r="A399" s="44"/>
      <c r="B399" s="7" t="s">
        <v>363</v>
      </c>
      <c r="C399" s="20" t="s">
        <v>436</v>
      </c>
      <c r="D399" s="21" t="s">
        <v>312</v>
      </c>
      <c r="E399" s="20" t="s">
        <v>19</v>
      </c>
      <c r="F399" s="22">
        <v>1</v>
      </c>
      <c r="G399" s="40">
        <v>609044.49599999993</v>
      </c>
      <c r="H399" s="24">
        <f>ROUND(F399*G399,0)</f>
        <v>609044</v>
      </c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</row>
    <row r="400" spans="1:19" s="46" customFormat="1" ht="126" hidden="1" x14ac:dyDescent="0.25">
      <c r="A400" s="44"/>
      <c r="B400" s="7" t="s">
        <v>363</v>
      </c>
      <c r="C400" s="20" t="s">
        <v>437</v>
      </c>
      <c r="D400" s="21" t="s">
        <v>438</v>
      </c>
      <c r="E400" s="20" t="s">
        <v>19</v>
      </c>
      <c r="F400" s="22">
        <v>1</v>
      </c>
      <c r="G400" s="40">
        <v>3356203.452</v>
      </c>
      <c r="H400" s="24">
        <f>ROUND(F400*G400,0)</f>
        <v>3356203</v>
      </c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</row>
    <row r="401" spans="1:19" s="46" customFormat="1" ht="126" hidden="1" x14ac:dyDescent="0.25">
      <c r="A401" s="44"/>
      <c r="B401" s="7" t="s">
        <v>363</v>
      </c>
      <c r="C401" s="20" t="s">
        <v>439</v>
      </c>
      <c r="D401" s="21" t="s">
        <v>440</v>
      </c>
      <c r="E401" s="20" t="s">
        <v>19</v>
      </c>
      <c r="F401" s="22">
        <v>1</v>
      </c>
      <c r="G401" s="40">
        <v>944872.54799999995</v>
      </c>
      <c r="H401" s="24">
        <f>ROUND(F401*G401,0)</f>
        <v>944873</v>
      </c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</row>
    <row r="402" spans="1:19" s="46" customFormat="1" ht="126" hidden="1" x14ac:dyDescent="0.25">
      <c r="A402" s="44"/>
      <c r="B402" s="7" t="s">
        <v>363</v>
      </c>
      <c r="C402" s="20" t="s">
        <v>441</v>
      </c>
      <c r="D402" s="21" t="s">
        <v>442</v>
      </c>
      <c r="E402" s="20" t="s">
        <v>19</v>
      </c>
      <c r="F402" s="22">
        <v>1</v>
      </c>
      <c r="G402" s="40">
        <v>2282383.9439999997</v>
      </c>
      <c r="H402" s="24">
        <f>ROUND(F402*G402,0)</f>
        <v>2282384</v>
      </c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</row>
    <row r="403" spans="1:19" s="46" customFormat="1" ht="126" hidden="1" x14ac:dyDescent="0.25">
      <c r="A403" s="44"/>
      <c r="B403" s="7" t="s">
        <v>363</v>
      </c>
      <c r="C403" s="20" t="s">
        <v>443</v>
      </c>
      <c r="D403" s="21" t="s">
        <v>444</v>
      </c>
      <c r="E403" s="20" t="s">
        <v>19</v>
      </c>
      <c r="F403" s="22">
        <v>1</v>
      </c>
      <c r="G403" s="40">
        <v>1417115.9039999999</v>
      </c>
      <c r="H403" s="24">
        <f>ROUND(F403*G403,0)</f>
        <v>1417116</v>
      </c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</row>
    <row r="404" spans="1:19" s="46" customFormat="1" ht="126" hidden="1" x14ac:dyDescent="0.25">
      <c r="A404" s="44"/>
      <c r="B404" s="7" t="s">
        <v>363</v>
      </c>
      <c r="C404" s="20" t="s">
        <v>445</v>
      </c>
      <c r="D404" s="21" t="s">
        <v>446</v>
      </c>
      <c r="E404" s="20" t="s">
        <v>19</v>
      </c>
      <c r="F404" s="22">
        <v>3</v>
      </c>
      <c r="G404" s="40">
        <v>3678900.7560000001</v>
      </c>
      <c r="H404" s="24">
        <f>ROUND(F404*G404,0)</f>
        <v>11036702</v>
      </c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</row>
    <row r="405" spans="1:19" s="46" customFormat="1" ht="126" hidden="1" x14ac:dyDescent="0.25">
      <c r="A405" s="44"/>
      <c r="B405" s="7" t="s">
        <v>363</v>
      </c>
      <c r="C405" s="20" t="s">
        <v>447</v>
      </c>
      <c r="D405" s="21" t="s">
        <v>448</v>
      </c>
      <c r="E405" s="20" t="s">
        <v>19</v>
      </c>
      <c r="F405" s="22">
        <v>3</v>
      </c>
      <c r="G405" s="40">
        <v>850740.88799999992</v>
      </c>
      <c r="H405" s="24">
        <f>ROUND(F405*G405,0)</f>
        <v>2552223</v>
      </c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</row>
    <row r="406" spans="1:19" s="46" customFormat="1" ht="126" hidden="1" x14ac:dyDescent="0.25">
      <c r="A406" s="44"/>
      <c r="B406" s="7" t="s">
        <v>363</v>
      </c>
      <c r="C406" s="20" t="s">
        <v>449</v>
      </c>
      <c r="D406" s="21" t="s">
        <v>316</v>
      </c>
      <c r="E406" s="20" t="s">
        <v>23</v>
      </c>
      <c r="F406" s="22">
        <v>97.73</v>
      </c>
      <c r="G406" s="40">
        <v>27462.611999999997</v>
      </c>
      <c r="H406" s="24">
        <f>ROUND(F406*G406,0)</f>
        <v>2683921</v>
      </c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</row>
    <row r="407" spans="1:19" s="46" customFormat="1" ht="126" hidden="1" x14ac:dyDescent="0.25">
      <c r="A407" s="44"/>
      <c r="B407" s="7" t="s">
        <v>363</v>
      </c>
      <c r="C407" s="20" t="s">
        <v>450</v>
      </c>
      <c r="D407" s="21" t="s">
        <v>451</v>
      </c>
      <c r="E407" s="20" t="s">
        <v>19</v>
      </c>
      <c r="F407" s="22">
        <v>36</v>
      </c>
      <c r="G407" s="40">
        <v>2898377.28</v>
      </c>
      <c r="H407" s="24">
        <f>ROUND(F407*G407,0)</f>
        <v>104341582</v>
      </c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</row>
    <row r="408" spans="1:19" s="46" customFormat="1" ht="126" hidden="1" x14ac:dyDescent="0.25">
      <c r="A408" s="44"/>
      <c r="B408" s="7" t="s">
        <v>363</v>
      </c>
      <c r="C408" s="20" t="s">
        <v>452</v>
      </c>
      <c r="D408" s="21" t="s">
        <v>453</v>
      </c>
      <c r="E408" s="20" t="s">
        <v>19</v>
      </c>
      <c r="F408" s="22">
        <v>6</v>
      </c>
      <c r="G408" s="40">
        <v>281478.26399999997</v>
      </c>
      <c r="H408" s="24">
        <f>ROUND(F408*G408,0)</f>
        <v>1688870</v>
      </c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</row>
    <row r="409" spans="1:19" s="43" customFormat="1" ht="126" hidden="1" x14ac:dyDescent="0.25">
      <c r="A409" s="41"/>
      <c r="B409" s="7" t="s">
        <v>363</v>
      </c>
      <c r="C409" s="11">
        <v>6.2</v>
      </c>
      <c r="D409" s="12" t="s">
        <v>454</v>
      </c>
      <c r="E409" s="31"/>
      <c r="F409" s="31"/>
      <c r="G409" s="31"/>
      <c r="H409" s="31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</row>
    <row r="410" spans="1:19" s="43" customFormat="1" ht="126" hidden="1" x14ac:dyDescent="0.25">
      <c r="A410" s="41"/>
      <c r="B410" s="7" t="s">
        <v>363</v>
      </c>
      <c r="C410" s="39" t="s">
        <v>455</v>
      </c>
      <c r="D410" s="12" t="s">
        <v>78</v>
      </c>
      <c r="E410" s="15"/>
      <c r="F410" s="16"/>
      <c r="G410" s="16"/>
      <c r="H410" s="17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</row>
    <row r="411" spans="1:19" s="46" customFormat="1" ht="126" hidden="1" x14ac:dyDescent="0.25">
      <c r="A411" s="44"/>
      <c r="B411" s="7" t="s">
        <v>363</v>
      </c>
      <c r="C411" s="20" t="s">
        <v>456</v>
      </c>
      <c r="D411" s="21" t="s">
        <v>341</v>
      </c>
      <c r="E411" s="20" t="s">
        <v>19</v>
      </c>
      <c r="F411" s="22">
        <v>1</v>
      </c>
      <c r="G411" s="40">
        <v>6131666.8439999996</v>
      </c>
      <c r="H411" s="24">
        <f>ROUND(F411*G411,0)</f>
        <v>6131667</v>
      </c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</row>
    <row r="412" spans="1:19" s="46" customFormat="1" ht="126" hidden="1" x14ac:dyDescent="0.25">
      <c r="A412" s="44"/>
      <c r="B412" s="7" t="s">
        <v>363</v>
      </c>
      <c r="C412" s="20" t="s">
        <v>457</v>
      </c>
      <c r="D412" s="21" t="s">
        <v>458</v>
      </c>
      <c r="E412" s="20" t="s">
        <v>19</v>
      </c>
      <c r="F412" s="22">
        <v>1</v>
      </c>
      <c r="G412" s="40">
        <v>1377192.78</v>
      </c>
      <c r="H412" s="24">
        <f>ROUND(F412*G412,0)</f>
        <v>1377193</v>
      </c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</row>
    <row r="413" spans="1:19" s="46" customFormat="1" ht="126" hidden="1" x14ac:dyDescent="0.25">
      <c r="A413" s="44"/>
      <c r="B413" s="7" t="s">
        <v>363</v>
      </c>
      <c r="C413" s="20" t="s">
        <v>459</v>
      </c>
      <c r="D413" s="21" t="s">
        <v>460</v>
      </c>
      <c r="E413" s="20" t="s">
        <v>19</v>
      </c>
      <c r="F413" s="22">
        <v>6</v>
      </c>
      <c r="G413" s="40">
        <v>1556760.0959999999</v>
      </c>
      <c r="H413" s="24">
        <f>ROUND(F413*G413,0)</f>
        <v>9340561</v>
      </c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</row>
    <row r="414" spans="1:19" s="43" customFormat="1" ht="126" hidden="1" x14ac:dyDescent="0.25">
      <c r="A414" s="41"/>
      <c r="B414" s="7" t="s">
        <v>363</v>
      </c>
      <c r="C414" s="11">
        <v>6.3</v>
      </c>
      <c r="D414" s="12" t="s">
        <v>461</v>
      </c>
      <c r="E414" s="31"/>
      <c r="F414" s="31"/>
      <c r="G414" s="31"/>
      <c r="H414" s="31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</row>
    <row r="415" spans="1:19" s="43" customFormat="1" ht="126" hidden="1" x14ac:dyDescent="0.25">
      <c r="A415" s="41"/>
      <c r="B415" s="7" t="s">
        <v>363</v>
      </c>
      <c r="C415" s="39" t="s">
        <v>462</v>
      </c>
      <c r="D415" s="12" t="s">
        <v>454</v>
      </c>
      <c r="E415" s="15"/>
      <c r="F415" s="16"/>
      <c r="G415" s="16"/>
      <c r="H415" s="17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</row>
    <row r="416" spans="1:19" s="46" customFormat="1" ht="126" hidden="1" x14ac:dyDescent="0.25">
      <c r="A416" s="44"/>
      <c r="B416" s="7" t="s">
        <v>363</v>
      </c>
      <c r="C416" s="20" t="s">
        <v>463</v>
      </c>
      <c r="D416" s="21" t="s">
        <v>464</v>
      </c>
      <c r="E416" s="20" t="s">
        <v>19</v>
      </c>
      <c r="F416" s="22">
        <v>1</v>
      </c>
      <c r="G416" s="40">
        <v>128207.51999999999</v>
      </c>
      <c r="H416" s="24">
        <f>ROUND(F416*G416,0)</f>
        <v>128208</v>
      </c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</row>
    <row r="417" spans="1:19" s="46" customFormat="1" ht="126" hidden="1" x14ac:dyDescent="0.25">
      <c r="A417" s="44"/>
      <c r="B417" s="7" t="s">
        <v>363</v>
      </c>
      <c r="C417" s="20" t="s">
        <v>465</v>
      </c>
      <c r="D417" s="21" t="s">
        <v>466</v>
      </c>
      <c r="E417" s="20" t="s">
        <v>19</v>
      </c>
      <c r="F417" s="22">
        <v>1</v>
      </c>
      <c r="G417" s="40">
        <v>147451.91999999998</v>
      </c>
      <c r="H417" s="24">
        <f>ROUND(F417*G417,0)</f>
        <v>147452</v>
      </c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</row>
    <row r="418" spans="1:19" s="46" customFormat="1" ht="126" hidden="1" x14ac:dyDescent="0.25">
      <c r="A418" s="44"/>
      <c r="B418" s="7" t="s">
        <v>363</v>
      </c>
      <c r="C418" s="20" t="s">
        <v>467</v>
      </c>
      <c r="D418" s="21" t="s">
        <v>468</v>
      </c>
      <c r="E418" s="20" t="s">
        <v>19</v>
      </c>
      <c r="F418" s="22">
        <v>1</v>
      </c>
      <c r="G418" s="40">
        <v>12378.983999999999</v>
      </c>
      <c r="H418" s="24">
        <f>ROUND(F418*G418,0)</f>
        <v>12379</v>
      </c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</row>
    <row r="419" spans="1:19" s="46" customFormat="1" ht="126" hidden="1" x14ac:dyDescent="0.25">
      <c r="A419" s="44"/>
      <c r="B419" s="7" t="s">
        <v>363</v>
      </c>
      <c r="C419" s="20" t="s">
        <v>469</v>
      </c>
      <c r="D419" s="21" t="s">
        <v>470</v>
      </c>
      <c r="E419" s="20" t="s">
        <v>19</v>
      </c>
      <c r="F419" s="22">
        <v>1</v>
      </c>
      <c r="G419" s="40">
        <v>39065.184000000001</v>
      </c>
      <c r="H419" s="24">
        <f>ROUND(F419*G419,0)</f>
        <v>39065</v>
      </c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</row>
    <row r="420" spans="1:19" s="43" customFormat="1" ht="126" hidden="1" x14ac:dyDescent="0.25">
      <c r="A420" s="41"/>
      <c r="B420" s="7" t="s">
        <v>363</v>
      </c>
      <c r="C420" s="11">
        <v>6.4</v>
      </c>
      <c r="D420" s="12" t="s">
        <v>471</v>
      </c>
      <c r="E420" s="31"/>
      <c r="F420" s="31"/>
      <c r="G420" s="31"/>
      <c r="H420" s="31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</row>
    <row r="421" spans="1:19" s="43" customFormat="1" ht="126" hidden="1" x14ac:dyDescent="0.25">
      <c r="A421" s="41"/>
      <c r="B421" s="7" t="s">
        <v>363</v>
      </c>
      <c r="C421" s="39" t="s">
        <v>472</v>
      </c>
      <c r="D421" s="12" t="s">
        <v>473</v>
      </c>
      <c r="E421" s="15"/>
      <c r="F421" s="16"/>
      <c r="G421" s="16"/>
      <c r="H421" s="17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</row>
    <row r="422" spans="1:19" s="46" customFormat="1" ht="126" hidden="1" x14ac:dyDescent="0.25">
      <c r="A422" s="44"/>
      <c r="B422" s="7" t="s">
        <v>363</v>
      </c>
      <c r="C422" s="20" t="s">
        <v>474</v>
      </c>
      <c r="D422" s="21" t="s">
        <v>475</v>
      </c>
      <c r="E422" s="20" t="s">
        <v>16</v>
      </c>
      <c r="F422" s="22">
        <v>870.67</v>
      </c>
      <c r="G422" s="40">
        <v>118220.34</v>
      </c>
      <c r="H422" s="24">
        <f>ROUND(F422*G422,0)</f>
        <v>102930903</v>
      </c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</row>
    <row r="423" spans="1:19" s="43" customFormat="1" ht="126" hidden="1" x14ac:dyDescent="0.25">
      <c r="A423" s="41"/>
      <c r="B423" s="7" t="s">
        <v>363</v>
      </c>
      <c r="C423" s="11">
        <v>6.5</v>
      </c>
      <c r="D423" s="12" t="s">
        <v>476</v>
      </c>
      <c r="E423" s="31"/>
      <c r="F423" s="31"/>
      <c r="G423" s="31"/>
      <c r="H423" s="31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</row>
    <row r="424" spans="1:19" s="43" customFormat="1" ht="126" hidden="1" x14ac:dyDescent="0.25">
      <c r="A424" s="41"/>
      <c r="B424" s="7" t="s">
        <v>363</v>
      </c>
      <c r="C424" s="39" t="s">
        <v>477</v>
      </c>
      <c r="D424" s="12" t="s">
        <v>478</v>
      </c>
      <c r="E424" s="15"/>
      <c r="F424" s="16"/>
      <c r="G424" s="16"/>
      <c r="H424" s="17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</row>
    <row r="425" spans="1:19" s="46" customFormat="1" ht="126" hidden="1" x14ac:dyDescent="0.25">
      <c r="A425" s="44"/>
      <c r="B425" s="7" t="s">
        <v>363</v>
      </c>
      <c r="C425" s="20" t="s">
        <v>479</v>
      </c>
      <c r="D425" s="21" t="s">
        <v>480</v>
      </c>
      <c r="E425" s="20" t="s">
        <v>19</v>
      </c>
      <c r="F425" s="22">
        <v>6</v>
      </c>
      <c r="G425" s="40">
        <v>460077.67199999996</v>
      </c>
      <c r="H425" s="24">
        <f>ROUND(F425*G425,0)</f>
        <v>2760466</v>
      </c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</row>
    <row r="426" spans="1:19" s="46" customFormat="1" ht="126" hidden="1" x14ac:dyDescent="0.25">
      <c r="A426" s="44"/>
      <c r="B426" s="7" t="s">
        <v>363</v>
      </c>
      <c r="C426" s="20" t="s">
        <v>481</v>
      </c>
      <c r="D426" s="21" t="s">
        <v>482</v>
      </c>
      <c r="E426" s="20" t="s">
        <v>16</v>
      </c>
      <c r="F426" s="22">
        <v>126</v>
      </c>
      <c r="G426" s="40">
        <v>6500.4359999999997</v>
      </c>
      <c r="H426" s="24">
        <f>ROUND(F426*G426,0)</f>
        <v>819055</v>
      </c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</row>
    <row r="427" spans="1:19" s="43" customFormat="1" ht="126" hidden="1" x14ac:dyDescent="0.25">
      <c r="A427" s="41"/>
      <c r="B427" s="7" t="s">
        <v>363</v>
      </c>
      <c r="C427" s="11">
        <v>6.6</v>
      </c>
      <c r="D427" s="12" t="s">
        <v>346</v>
      </c>
      <c r="E427" s="31"/>
      <c r="F427" s="31"/>
      <c r="G427" s="31"/>
      <c r="H427" s="31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</row>
    <row r="428" spans="1:19" s="43" customFormat="1" ht="126" hidden="1" x14ac:dyDescent="0.25">
      <c r="A428" s="41"/>
      <c r="B428" s="7" t="s">
        <v>363</v>
      </c>
      <c r="C428" s="39" t="s">
        <v>483</v>
      </c>
      <c r="D428" s="12" t="s">
        <v>347</v>
      </c>
      <c r="E428" s="15"/>
      <c r="F428" s="16"/>
      <c r="G428" s="16"/>
      <c r="H428" s="17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</row>
    <row r="429" spans="1:19" s="46" customFormat="1" ht="126" hidden="1" x14ac:dyDescent="0.25">
      <c r="A429" s="44"/>
      <c r="B429" s="7" t="s">
        <v>363</v>
      </c>
      <c r="C429" s="20" t="s">
        <v>484</v>
      </c>
      <c r="D429" s="21" t="s">
        <v>349</v>
      </c>
      <c r="E429" s="20" t="s">
        <v>19</v>
      </c>
      <c r="F429" s="22">
        <v>1</v>
      </c>
      <c r="G429" s="40">
        <v>11051954.639999999</v>
      </c>
      <c r="H429" s="24">
        <f>ROUND(F429*G429,0)</f>
        <v>11051955</v>
      </c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</row>
    <row r="430" spans="1:19" s="46" customFormat="1" ht="126" hidden="1" x14ac:dyDescent="0.25">
      <c r="A430" s="44"/>
      <c r="B430" s="7" t="s">
        <v>363</v>
      </c>
      <c r="C430" s="20" t="s">
        <v>485</v>
      </c>
      <c r="D430" s="21" t="s">
        <v>351</v>
      </c>
      <c r="E430" s="20" t="s">
        <v>19</v>
      </c>
      <c r="F430" s="22">
        <v>1</v>
      </c>
      <c r="G430" s="40">
        <v>469260</v>
      </c>
      <c r="H430" s="24">
        <f>ROUND(F430*G430,0)</f>
        <v>469260</v>
      </c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</row>
    <row r="431" spans="1:19" s="43" customFormat="1" ht="126" hidden="1" x14ac:dyDescent="0.25">
      <c r="A431" s="41"/>
      <c r="B431" s="7" t="s">
        <v>363</v>
      </c>
      <c r="C431" s="11">
        <v>6.7</v>
      </c>
      <c r="D431" s="12" t="s">
        <v>352</v>
      </c>
      <c r="E431" s="31"/>
      <c r="F431" s="31"/>
      <c r="G431" s="31"/>
      <c r="H431" s="31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</row>
    <row r="432" spans="1:19" s="43" customFormat="1" ht="126" hidden="1" x14ac:dyDescent="0.25">
      <c r="A432" s="41"/>
      <c r="B432" s="7" t="s">
        <v>363</v>
      </c>
      <c r="C432" s="39" t="s">
        <v>486</v>
      </c>
      <c r="D432" s="12" t="s">
        <v>353</v>
      </c>
      <c r="E432" s="15"/>
      <c r="F432" s="16"/>
      <c r="G432" s="16"/>
      <c r="H432" s="17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</row>
    <row r="433" spans="1:19" s="46" customFormat="1" ht="126" hidden="1" x14ac:dyDescent="0.25">
      <c r="A433" s="44"/>
      <c r="B433" s="7" t="s">
        <v>363</v>
      </c>
      <c r="C433" s="20" t="s">
        <v>487</v>
      </c>
      <c r="D433" s="21" t="s">
        <v>119</v>
      </c>
      <c r="E433" s="20" t="s">
        <v>16</v>
      </c>
      <c r="F433" s="22">
        <v>426</v>
      </c>
      <c r="G433" s="40">
        <v>58818.659999999996</v>
      </c>
      <c r="H433" s="24">
        <f>ROUND(F433*G433,0)</f>
        <v>25056749</v>
      </c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</row>
    <row r="434" spans="1:19" s="43" customFormat="1" ht="126" hidden="1" x14ac:dyDescent="0.25">
      <c r="A434" s="41"/>
      <c r="B434" s="7" t="s">
        <v>363</v>
      </c>
      <c r="C434" s="11">
        <v>6.8</v>
      </c>
      <c r="D434" s="12" t="s">
        <v>355</v>
      </c>
      <c r="E434" s="31"/>
      <c r="F434" s="31"/>
      <c r="G434" s="31"/>
      <c r="H434" s="31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</row>
    <row r="435" spans="1:19" s="43" customFormat="1" ht="126" hidden="1" x14ac:dyDescent="0.25">
      <c r="A435" s="41"/>
      <c r="B435" s="7" t="s">
        <v>363</v>
      </c>
      <c r="C435" s="39" t="s">
        <v>488</v>
      </c>
      <c r="D435" s="12" t="s">
        <v>357</v>
      </c>
      <c r="E435" s="15"/>
      <c r="F435" s="16"/>
      <c r="G435" s="16"/>
      <c r="H435" s="17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</row>
    <row r="436" spans="1:19" s="46" customFormat="1" ht="126" hidden="1" x14ac:dyDescent="0.25">
      <c r="A436" s="44"/>
      <c r="B436" s="7" t="s">
        <v>363</v>
      </c>
      <c r="C436" s="20" t="s">
        <v>489</v>
      </c>
      <c r="D436" s="21" t="s">
        <v>200</v>
      </c>
      <c r="E436" s="20" t="s">
        <v>19</v>
      </c>
      <c r="F436" s="22">
        <v>6</v>
      </c>
      <c r="G436" s="40">
        <v>414021.93599999999</v>
      </c>
      <c r="H436" s="24">
        <f>ROUND(F436*G436,0)</f>
        <v>2484132</v>
      </c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</row>
    <row r="437" spans="1:19" s="46" customFormat="1" ht="126" hidden="1" x14ac:dyDescent="0.25">
      <c r="A437" s="44"/>
      <c r="B437" s="7" t="s">
        <v>363</v>
      </c>
      <c r="C437" s="20" t="s">
        <v>490</v>
      </c>
      <c r="D437" s="21" t="s">
        <v>360</v>
      </c>
      <c r="E437" s="20" t="s">
        <v>19</v>
      </c>
      <c r="F437" s="22">
        <v>6</v>
      </c>
      <c r="G437" s="40">
        <v>46185.612000000001</v>
      </c>
      <c r="H437" s="24">
        <f>ROUND(F437*G437,0)</f>
        <v>277114</v>
      </c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</row>
    <row r="438" spans="1:19" s="46" customFormat="1" ht="126" hidden="1" x14ac:dyDescent="0.25">
      <c r="A438" s="44"/>
      <c r="B438" s="7" t="s">
        <v>363</v>
      </c>
      <c r="C438" s="20" t="s">
        <v>491</v>
      </c>
      <c r="D438" s="21" t="s">
        <v>492</v>
      </c>
      <c r="E438" s="20" t="s">
        <v>19</v>
      </c>
      <c r="F438" s="22">
        <v>1.5</v>
      </c>
      <c r="G438" s="40">
        <v>330588.45600000001</v>
      </c>
      <c r="H438" s="24">
        <f>ROUND(F438*G438,0)</f>
        <v>495883</v>
      </c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</row>
    <row r="439" spans="1:19" s="46" customFormat="1" ht="126" hidden="1" x14ac:dyDescent="0.25">
      <c r="A439" s="44"/>
      <c r="B439" s="7" t="s">
        <v>363</v>
      </c>
      <c r="C439" s="20" t="s">
        <v>493</v>
      </c>
      <c r="D439" s="21" t="s">
        <v>362</v>
      </c>
      <c r="E439" s="20" t="s">
        <v>16</v>
      </c>
      <c r="F439" s="22">
        <v>15.69</v>
      </c>
      <c r="G439" s="40">
        <v>3416.5919999999996</v>
      </c>
      <c r="H439" s="24">
        <f>ROUND(F439*G439,0)</f>
        <v>53606</v>
      </c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</row>
    <row r="440" spans="1:19" s="43" customFormat="1" ht="126" hidden="1" x14ac:dyDescent="0.25">
      <c r="A440" s="41"/>
      <c r="B440" s="7" t="s">
        <v>363</v>
      </c>
      <c r="C440" s="11">
        <v>7</v>
      </c>
      <c r="D440" s="12" t="s">
        <v>76</v>
      </c>
      <c r="E440" s="31"/>
      <c r="F440" s="31"/>
      <c r="G440" s="31"/>
      <c r="H440" s="31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</row>
    <row r="441" spans="1:19" s="46" customFormat="1" ht="126" hidden="1" x14ac:dyDescent="0.25">
      <c r="A441" s="44"/>
      <c r="B441" s="7" t="s">
        <v>363</v>
      </c>
      <c r="C441" s="32">
        <v>7.1</v>
      </c>
      <c r="D441" s="21" t="s">
        <v>76</v>
      </c>
      <c r="E441" s="20" t="s">
        <v>13</v>
      </c>
      <c r="F441" s="22">
        <v>2396.41</v>
      </c>
      <c r="G441" s="40">
        <v>969.80399999999997</v>
      </c>
      <c r="H441" s="24">
        <f>ROUND(F441*G441,0)</f>
        <v>2324048</v>
      </c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</row>
    <row r="442" spans="1:19" s="43" customFormat="1" ht="126" hidden="1" x14ac:dyDescent="0.25">
      <c r="A442" s="41"/>
      <c r="B442" s="7" t="s">
        <v>363</v>
      </c>
      <c r="C442" s="11">
        <v>8</v>
      </c>
      <c r="D442" s="12" t="s">
        <v>138</v>
      </c>
      <c r="E442" s="31"/>
      <c r="F442" s="31"/>
      <c r="G442" s="31"/>
      <c r="H442" s="31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</row>
    <row r="443" spans="1:19" s="46" customFormat="1" ht="126" hidden="1" x14ac:dyDescent="0.25">
      <c r="A443" s="44"/>
      <c r="B443" s="7" t="s">
        <v>363</v>
      </c>
      <c r="C443" s="32">
        <v>8.1</v>
      </c>
      <c r="D443" s="21" t="s">
        <v>138</v>
      </c>
      <c r="E443" s="20" t="s">
        <v>139</v>
      </c>
      <c r="F443" s="34">
        <v>0.04</v>
      </c>
      <c r="G443" s="40">
        <v>1057849784.4</v>
      </c>
      <c r="H443" s="24">
        <f>ROUND(F443*G443,0)</f>
        <v>42313991</v>
      </c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</row>
    <row r="444" spans="1:19" s="30" customFormat="1" ht="31.5" x14ac:dyDescent="0.2">
      <c r="A444" s="28"/>
      <c r="B444" s="6" t="s">
        <v>494</v>
      </c>
      <c r="C444" s="11">
        <v>1</v>
      </c>
      <c r="D444" s="12" t="s">
        <v>10</v>
      </c>
      <c r="E444" s="31"/>
      <c r="F444" s="31"/>
      <c r="G444" s="31"/>
      <c r="H444" s="31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</row>
    <row r="445" spans="1:19" s="27" customFormat="1" ht="31.5" x14ac:dyDescent="0.2">
      <c r="A445" s="18"/>
      <c r="B445" s="19" t="s">
        <v>494</v>
      </c>
      <c r="C445" s="32">
        <v>1.01</v>
      </c>
      <c r="D445" s="21" t="s">
        <v>376</v>
      </c>
      <c r="E445" s="20" t="s">
        <v>16</v>
      </c>
      <c r="F445" s="22">
        <v>459.67</v>
      </c>
      <c r="G445" s="40">
        <v>2436.3599999999997</v>
      </c>
      <c r="H445" s="24">
        <f>ROUND(F445*G445,0)</f>
        <v>1119922</v>
      </c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</row>
    <row r="446" spans="1:19" s="27" customFormat="1" ht="31.5" x14ac:dyDescent="0.2">
      <c r="A446" s="18"/>
      <c r="B446" s="19" t="s">
        <v>494</v>
      </c>
      <c r="C446" s="32">
        <v>1.02</v>
      </c>
      <c r="D446" s="21" t="s">
        <v>206</v>
      </c>
      <c r="E446" s="20" t="s">
        <v>16</v>
      </c>
      <c r="F446" s="22">
        <v>459.67</v>
      </c>
      <c r="G446" s="40">
        <v>15791.784</v>
      </c>
      <c r="H446" s="24">
        <f>ROUND(F446*G446,0)</f>
        <v>7259009</v>
      </c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</row>
    <row r="447" spans="1:19" s="30" customFormat="1" ht="31.5" x14ac:dyDescent="0.2">
      <c r="A447" s="28"/>
      <c r="B447" s="6" t="s">
        <v>494</v>
      </c>
      <c r="C447" s="11">
        <v>2</v>
      </c>
      <c r="D447" s="12" t="s">
        <v>208</v>
      </c>
      <c r="E447" s="31"/>
      <c r="F447" s="31"/>
      <c r="G447" s="31"/>
      <c r="H447" s="31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</row>
    <row r="448" spans="1:19" s="27" customFormat="1" ht="31.5" x14ac:dyDescent="0.2">
      <c r="A448" s="18"/>
      <c r="B448" s="19" t="s">
        <v>494</v>
      </c>
      <c r="C448" s="32">
        <v>2.0099999999999998</v>
      </c>
      <c r="D448" s="21" t="s">
        <v>22</v>
      </c>
      <c r="E448" s="20" t="s">
        <v>23</v>
      </c>
      <c r="F448" s="22">
        <v>29.3202</v>
      </c>
      <c r="G448" s="40">
        <v>27462.611999999997</v>
      </c>
      <c r="H448" s="24">
        <f>ROUND(F448*G448,0)</f>
        <v>805209</v>
      </c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</row>
    <row r="449" spans="1:19" s="27" customFormat="1" ht="31.5" x14ac:dyDescent="0.2">
      <c r="A449" s="18"/>
      <c r="B449" s="19" t="s">
        <v>494</v>
      </c>
      <c r="C449" s="32">
        <v>2.02</v>
      </c>
      <c r="D449" s="21" t="s">
        <v>153</v>
      </c>
      <c r="E449" s="20" t="s">
        <v>23</v>
      </c>
      <c r="F449" s="22">
        <v>29.3202</v>
      </c>
      <c r="G449" s="40">
        <v>5493.66</v>
      </c>
      <c r="H449" s="24">
        <f>ROUND(F449*G449,0)</f>
        <v>161075</v>
      </c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</row>
    <row r="450" spans="1:19" s="27" customFormat="1" ht="31.5" x14ac:dyDescent="0.2">
      <c r="A450" s="18"/>
      <c r="B450" s="19" t="s">
        <v>494</v>
      </c>
      <c r="C450" s="32">
        <v>2.0299999999999998</v>
      </c>
      <c r="D450" s="21" t="s">
        <v>37</v>
      </c>
      <c r="E450" s="20" t="s">
        <v>38</v>
      </c>
      <c r="F450" s="22">
        <v>841.49</v>
      </c>
      <c r="G450" s="40">
        <v>1598.328</v>
      </c>
      <c r="H450" s="24">
        <f>ROUND(F450*G450,0)</f>
        <v>1344977</v>
      </c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</row>
    <row r="451" spans="1:19" s="30" customFormat="1" ht="31.5" x14ac:dyDescent="0.2">
      <c r="A451" s="28"/>
      <c r="B451" s="6" t="s">
        <v>494</v>
      </c>
      <c r="C451" s="11">
        <v>3</v>
      </c>
      <c r="D451" s="12" t="s">
        <v>495</v>
      </c>
      <c r="E451" s="31"/>
      <c r="F451" s="31"/>
      <c r="G451" s="31"/>
      <c r="H451" s="31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</row>
    <row r="452" spans="1:19" s="27" customFormat="1" ht="31.5" x14ac:dyDescent="0.2">
      <c r="A452" s="18"/>
      <c r="B452" s="19" t="s">
        <v>494</v>
      </c>
      <c r="C452" s="32">
        <v>3.01</v>
      </c>
      <c r="D452" s="21" t="s">
        <v>496</v>
      </c>
      <c r="E452" s="20" t="s">
        <v>23</v>
      </c>
      <c r="F452" s="22">
        <v>20.75</v>
      </c>
      <c r="G452" s="40">
        <v>872684.24399999995</v>
      </c>
      <c r="H452" s="24">
        <f>ROUND(F452*G452,0)</f>
        <v>18108198</v>
      </c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</row>
    <row r="453" spans="1:19" s="27" customFormat="1" ht="31.5" x14ac:dyDescent="0.2">
      <c r="A453" s="18"/>
      <c r="B453" s="19" t="s">
        <v>494</v>
      </c>
      <c r="C453" s="32">
        <v>3.02</v>
      </c>
      <c r="D453" s="21" t="s">
        <v>497</v>
      </c>
      <c r="E453" s="20" t="s">
        <v>23</v>
      </c>
      <c r="F453" s="22">
        <v>12.6</v>
      </c>
      <c r="G453" s="40">
        <v>761556.84</v>
      </c>
      <c r="H453" s="24">
        <f>ROUND(F453*G453,0)</f>
        <v>9595616</v>
      </c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</row>
    <row r="454" spans="1:19" s="27" customFormat="1" ht="31.5" x14ac:dyDescent="0.2">
      <c r="A454" s="18"/>
      <c r="B454" s="19" t="s">
        <v>494</v>
      </c>
      <c r="C454" s="32">
        <v>3.03</v>
      </c>
      <c r="D454" s="21" t="s">
        <v>214</v>
      </c>
      <c r="E454" s="20" t="s">
        <v>48</v>
      </c>
      <c r="F454" s="22">
        <v>3893.14</v>
      </c>
      <c r="G454" s="40">
        <v>6597.1319999999996</v>
      </c>
      <c r="H454" s="24">
        <f>ROUND(F454*G454,0)</f>
        <v>25683558</v>
      </c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</row>
    <row r="455" spans="1:19" s="30" customFormat="1" ht="31.5" x14ac:dyDescent="0.2">
      <c r="A455" s="28"/>
      <c r="B455" s="6" t="s">
        <v>494</v>
      </c>
      <c r="C455" s="11">
        <v>4</v>
      </c>
      <c r="D455" s="12" t="s">
        <v>498</v>
      </c>
      <c r="E455" s="31"/>
      <c r="F455" s="31"/>
      <c r="G455" s="31"/>
      <c r="H455" s="31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</row>
    <row r="456" spans="1:19" s="27" customFormat="1" ht="31.5" x14ac:dyDescent="0.2">
      <c r="A456" s="18"/>
      <c r="B456" s="19" t="s">
        <v>494</v>
      </c>
      <c r="C456" s="32">
        <v>4.01</v>
      </c>
      <c r="D456" s="21" t="s">
        <v>499</v>
      </c>
      <c r="E456" s="20" t="s">
        <v>13</v>
      </c>
      <c r="F456" s="22">
        <v>84.28</v>
      </c>
      <c r="G456" s="40">
        <v>100246.26</v>
      </c>
      <c r="H456" s="24">
        <f>ROUND(F456*G456,0)</f>
        <v>8448755</v>
      </c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</row>
    <row r="457" spans="1:19" s="27" customFormat="1" ht="31.5" x14ac:dyDescent="0.2">
      <c r="A457" s="18"/>
      <c r="B457" s="19" t="s">
        <v>494</v>
      </c>
      <c r="C457" s="32">
        <v>4.0199999999999996</v>
      </c>
      <c r="D457" s="21" t="s">
        <v>500</v>
      </c>
      <c r="E457" s="20" t="s">
        <v>16</v>
      </c>
      <c r="F457" s="22">
        <v>230.58</v>
      </c>
      <c r="G457" s="40">
        <v>43727.447999999997</v>
      </c>
      <c r="H457" s="24">
        <f>ROUND(F457*G457,0)</f>
        <v>10082675</v>
      </c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</row>
    <row r="458" spans="1:19" s="27" customFormat="1" ht="31.5" x14ac:dyDescent="0.2">
      <c r="A458" s="18"/>
      <c r="B458" s="19" t="s">
        <v>494</v>
      </c>
      <c r="C458" s="32">
        <v>4.03</v>
      </c>
      <c r="D458" s="21" t="s">
        <v>501</v>
      </c>
      <c r="E458" s="20" t="s">
        <v>23</v>
      </c>
      <c r="F458" s="22">
        <v>0.96</v>
      </c>
      <c r="G458" s="40">
        <v>1327870.236</v>
      </c>
      <c r="H458" s="24">
        <f>ROUND(F458*G458,0)</f>
        <v>1274755</v>
      </c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</row>
    <row r="459" spans="1:19" s="27" customFormat="1" ht="31.5" x14ac:dyDescent="0.2">
      <c r="A459" s="18"/>
      <c r="B459" s="19" t="s">
        <v>494</v>
      </c>
      <c r="C459" s="32">
        <v>4.04</v>
      </c>
      <c r="D459" s="21" t="s">
        <v>214</v>
      </c>
      <c r="E459" s="20" t="s">
        <v>48</v>
      </c>
      <c r="F459" s="22">
        <v>1409.71</v>
      </c>
      <c r="G459" s="40">
        <v>6597.1319999999996</v>
      </c>
      <c r="H459" s="24">
        <f>ROUND(F459*G459,0)</f>
        <v>9300043</v>
      </c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</row>
    <row r="460" spans="1:19" s="27" customFormat="1" ht="31.5" x14ac:dyDescent="0.2">
      <c r="A460" s="18"/>
      <c r="B460" s="19" t="s">
        <v>494</v>
      </c>
      <c r="C460" s="32">
        <v>4.05</v>
      </c>
      <c r="D460" s="21" t="s">
        <v>502</v>
      </c>
      <c r="E460" s="20" t="s">
        <v>13</v>
      </c>
      <c r="F460" s="22">
        <v>403.52</v>
      </c>
      <c r="G460" s="40">
        <v>33372.443999999996</v>
      </c>
      <c r="H460" s="24">
        <f>ROUND(F460*G460,0)</f>
        <v>13466449</v>
      </c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</row>
    <row r="461" spans="1:19" s="27" customFormat="1" ht="31.5" x14ac:dyDescent="0.2">
      <c r="A461" s="18"/>
      <c r="B461" s="19" t="s">
        <v>494</v>
      </c>
      <c r="C461" s="32">
        <v>4.0599999999999996</v>
      </c>
      <c r="D461" s="21" t="s">
        <v>503</v>
      </c>
      <c r="E461" s="20" t="s">
        <v>16</v>
      </c>
      <c r="F461" s="22">
        <v>446.78</v>
      </c>
      <c r="G461" s="40">
        <v>29333.016</v>
      </c>
      <c r="H461" s="24">
        <f>ROUND(F461*G461,0)</f>
        <v>13105405</v>
      </c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</row>
    <row r="462" spans="1:19" s="27" customFormat="1" ht="31.5" x14ac:dyDescent="0.2">
      <c r="A462" s="18"/>
      <c r="B462" s="19" t="s">
        <v>494</v>
      </c>
      <c r="C462" s="32">
        <v>4.07</v>
      </c>
      <c r="D462" s="21" t="s">
        <v>504</v>
      </c>
      <c r="E462" s="20" t="s">
        <v>16</v>
      </c>
      <c r="F462" s="22">
        <v>268.8</v>
      </c>
      <c r="G462" s="40">
        <v>24913.439999999999</v>
      </c>
      <c r="H462" s="24">
        <f>ROUND(F462*G462,0)</f>
        <v>6696733</v>
      </c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</row>
    <row r="463" spans="1:19" s="27" customFormat="1" ht="31.5" x14ac:dyDescent="0.2">
      <c r="A463" s="18"/>
      <c r="B463" s="19" t="s">
        <v>494</v>
      </c>
      <c r="C463" s="32">
        <v>4.08</v>
      </c>
      <c r="D463" s="21" t="s">
        <v>505</v>
      </c>
      <c r="E463" s="20" t="s">
        <v>506</v>
      </c>
      <c r="F463" s="22">
        <v>254.62</v>
      </c>
      <c r="G463" s="40">
        <v>7463.6039999999994</v>
      </c>
      <c r="H463" s="24">
        <f>ROUND(F463*G463,0)</f>
        <v>1900383</v>
      </c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</row>
    <row r="464" spans="1:19" s="27" customFormat="1" ht="31.5" x14ac:dyDescent="0.2">
      <c r="A464" s="18"/>
      <c r="B464" s="19" t="s">
        <v>494</v>
      </c>
      <c r="C464" s="32">
        <v>4.09</v>
      </c>
      <c r="D464" s="21" t="s">
        <v>507</v>
      </c>
      <c r="E464" s="20" t="s">
        <v>19</v>
      </c>
      <c r="F464" s="22">
        <v>47</v>
      </c>
      <c r="G464" s="40">
        <v>18759.971999999998</v>
      </c>
      <c r="H464" s="24">
        <f>ROUND(F464*G464,0)</f>
        <v>881719</v>
      </c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</row>
    <row r="465" spans="1:19" s="27" customFormat="1" ht="31.5" x14ac:dyDescent="0.2">
      <c r="A465" s="18"/>
      <c r="B465" s="19" t="s">
        <v>494</v>
      </c>
      <c r="C465" s="32">
        <v>4.0999999999999996</v>
      </c>
      <c r="D465" s="21" t="s">
        <v>508</v>
      </c>
      <c r="E465" s="20" t="s">
        <v>19</v>
      </c>
      <c r="F465" s="22">
        <v>2</v>
      </c>
      <c r="G465" s="40">
        <v>1100039.2919999999</v>
      </c>
      <c r="H465" s="24">
        <f>ROUND(F465*G465,0)</f>
        <v>2200079</v>
      </c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</row>
    <row r="466" spans="1:19" s="27" customFormat="1" ht="31.5" x14ac:dyDescent="0.2">
      <c r="A466" s="18"/>
      <c r="B466" s="19" t="s">
        <v>494</v>
      </c>
      <c r="C466" s="32">
        <v>4.1100000000000003</v>
      </c>
      <c r="D466" s="21" t="s">
        <v>509</v>
      </c>
      <c r="E466" s="20" t="s">
        <v>19</v>
      </c>
      <c r="F466" s="22">
        <v>2</v>
      </c>
      <c r="G466" s="40">
        <v>1551527.1359999999</v>
      </c>
      <c r="H466" s="24">
        <f>ROUND(F466*G466,0)</f>
        <v>3103054</v>
      </c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</row>
    <row r="467" spans="1:19" s="27" customFormat="1" ht="31.5" x14ac:dyDescent="0.2">
      <c r="A467" s="18"/>
      <c r="B467" s="19" t="s">
        <v>494</v>
      </c>
      <c r="C467" s="32">
        <v>4.12</v>
      </c>
      <c r="D467" s="21" t="s">
        <v>510</v>
      </c>
      <c r="E467" s="20" t="s">
        <v>16</v>
      </c>
      <c r="F467" s="22">
        <v>576.45000000000005</v>
      </c>
      <c r="G467" s="40">
        <v>14081.591999999999</v>
      </c>
      <c r="H467" s="24">
        <f>ROUND(F467*G467,0)</f>
        <v>8117334</v>
      </c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</row>
    <row r="468" spans="1:19" s="30" customFormat="1" ht="31.5" x14ac:dyDescent="0.2">
      <c r="A468" s="28"/>
      <c r="B468" s="6" t="s">
        <v>494</v>
      </c>
      <c r="C468" s="11">
        <v>5</v>
      </c>
      <c r="D468" s="12" t="s">
        <v>511</v>
      </c>
      <c r="E468" s="31"/>
      <c r="F468" s="31"/>
      <c r="G468" s="31"/>
      <c r="H468" s="31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</row>
    <row r="469" spans="1:19" s="27" customFormat="1" ht="31.5" x14ac:dyDescent="0.2">
      <c r="A469" s="18"/>
      <c r="B469" s="19" t="s">
        <v>494</v>
      </c>
      <c r="C469" s="32">
        <v>5.01</v>
      </c>
      <c r="D469" s="21" t="s">
        <v>512</v>
      </c>
      <c r="E469" s="20" t="s">
        <v>13</v>
      </c>
      <c r="F469" s="22">
        <v>42.14</v>
      </c>
      <c r="G469" s="40">
        <v>42665.687999999995</v>
      </c>
      <c r="H469" s="24">
        <f>ROUND(F469*G469,0)</f>
        <v>1797932</v>
      </c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</row>
    <row r="470" spans="1:19" s="27" customFormat="1" ht="31.5" x14ac:dyDescent="0.2">
      <c r="A470" s="18"/>
      <c r="B470" s="19" t="s">
        <v>494</v>
      </c>
      <c r="C470" s="32">
        <v>5.0199999999999996</v>
      </c>
      <c r="D470" s="21" t="s">
        <v>513</v>
      </c>
      <c r="E470" s="20" t="s">
        <v>13</v>
      </c>
      <c r="F470" s="22">
        <v>42.14</v>
      </c>
      <c r="G470" s="40">
        <v>39358.115999999995</v>
      </c>
      <c r="H470" s="24">
        <f>ROUND(F470*G470,0)</f>
        <v>1658551</v>
      </c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</row>
    <row r="471" spans="1:19" s="30" customFormat="1" ht="31.5" x14ac:dyDescent="0.2">
      <c r="A471" s="28"/>
      <c r="B471" s="6" t="s">
        <v>494</v>
      </c>
      <c r="C471" s="11">
        <v>6</v>
      </c>
      <c r="D471" s="12" t="s">
        <v>208</v>
      </c>
      <c r="E471" s="31"/>
      <c r="F471" s="31"/>
      <c r="G471" s="31"/>
      <c r="H471" s="31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</row>
    <row r="472" spans="1:19" s="27" customFormat="1" ht="31.5" x14ac:dyDescent="0.2">
      <c r="A472" s="18"/>
      <c r="B472" s="19" t="s">
        <v>494</v>
      </c>
      <c r="C472" s="32">
        <v>6.01</v>
      </c>
      <c r="D472" s="21" t="s">
        <v>22</v>
      </c>
      <c r="E472" s="20" t="s">
        <v>23</v>
      </c>
      <c r="F472" s="22">
        <v>11.93</v>
      </c>
      <c r="G472" s="40">
        <v>27462.611999999997</v>
      </c>
      <c r="H472" s="24">
        <f>ROUND(F472*G472,0)</f>
        <v>327629</v>
      </c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</row>
    <row r="473" spans="1:19" s="27" customFormat="1" ht="31.5" x14ac:dyDescent="0.2">
      <c r="A473" s="18"/>
      <c r="B473" s="19" t="s">
        <v>494</v>
      </c>
      <c r="C473" s="32">
        <v>6.02</v>
      </c>
      <c r="D473" s="21" t="s">
        <v>153</v>
      </c>
      <c r="E473" s="20" t="s">
        <v>23</v>
      </c>
      <c r="F473" s="22">
        <v>11.93</v>
      </c>
      <c r="G473" s="40">
        <v>5493.66</v>
      </c>
      <c r="H473" s="24">
        <f>ROUND(F473*G473,0)</f>
        <v>65539</v>
      </c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</row>
    <row r="474" spans="1:19" s="27" customFormat="1" ht="31.5" x14ac:dyDescent="0.2">
      <c r="A474" s="18"/>
      <c r="B474" s="19" t="s">
        <v>494</v>
      </c>
      <c r="C474" s="32">
        <v>6.03</v>
      </c>
      <c r="D474" s="21" t="s">
        <v>37</v>
      </c>
      <c r="E474" s="20" t="s">
        <v>38</v>
      </c>
      <c r="F474" s="22">
        <v>342.51</v>
      </c>
      <c r="G474" s="40">
        <v>1598.328</v>
      </c>
      <c r="H474" s="24">
        <f>ROUND(F474*G474,0)</f>
        <v>547443</v>
      </c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</row>
    <row r="475" spans="1:19" s="30" customFormat="1" ht="31.5" x14ac:dyDescent="0.2">
      <c r="A475" s="28"/>
      <c r="B475" s="6" t="s">
        <v>494</v>
      </c>
      <c r="C475" s="11">
        <v>7</v>
      </c>
      <c r="D475" s="12" t="s">
        <v>514</v>
      </c>
      <c r="E475" s="31"/>
      <c r="F475" s="31"/>
      <c r="G475" s="31"/>
      <c r="H475" s="31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</row>
    <row r="476" spans="1:19" s="27" customFormat="1" ht="31.5" x14ac:dyDescent="0.2">
      <c r="A476" s="18"/>
      <c r="B476" s="19" t="s">
        <v>494</v>
      </c>
      <c r="C476" s="32">
        <v>7.01</v>
      </c>
      <c r="D476" s="21" t="s">
        <v>515</v>
      </c>
      <c r="E476" s="20" t="s">
        <v>23</v>
      </c>
      <c r="F476" s="22">
        <v>30.99</v>
      </c>
      <c r="G476" s="40">
        <v>1125774.648</v>
      </c>
      <c r="H476" s="24">
        <f>ROUND(F476*G476,0)</f>
        <v>34887756</v>
      </c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</row>
    <row r="477" spans="1:19" s="27" customFormat="1" ht="31.5" x14ac:dyDescent="0.2">
      <c r="A477" s="18"/>
      <c r="B477" s="19" t="s">
        <v>494</v>
      </c>
      <c r="C477" s="32">
        <v>7.02</v>
      </c>
      <c r="D477" s="21" t="s">
        <v>497</v>
      </c>
      <c r="E477" s="20" t="s">
        <v>23</v>
      </c>
      <c r="F477" s="22">
        <v>16.829999999999998</v>
      </c>
      <c r="G477" s="40">
        <v>761556.84</v>
      </c>
      <c r="H477" s="24">
        <f>ROUND(F477*G477,0)</f>
        <v>12817002</v>
      </c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</row>
    <row r="478" spans="1:19" s="27" customFormat="1" ht="31.5" x14ac:dyDescent="0.2">
      <c r="A478" s="18"/>
      <c r="B478" s="19" t="s">
        <v>494</v>
      </c>
      <c r="C478" s="32">
        <v>7.03</v>
      </c>
      <c r="D478" s="21" t="s">
        <v>214</v>
      </c>
      <c r="E478" s="20" t="s">
        <v>48</v>
      </c>
      <c r="F478" s="22">
        <v>5574.98</v>
      </c>
      <c r="G478" s="40">
        <v>6597.1319999999996</v>
      </c>
      <c r="H478" s="24">
        <f>ROUND(F478*G478,0)</f>
        <v>36778879</v>
      </c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</row>
    <row r="479" spans="1:19" s="30" customFormat="1" ht="31.5" x14ac:dyDescent="0.2">
      <c r="A479" s="28"/>
      <c r="B479" s="6" t="s">
        <v>494</v>
      </c>
      <c r="C479" s="11">
        <v>8</v>
      </c>
      <c r="D479" s="12" t="s">
        <v>498</v>
      </c>
      <c r="E479" s="31"/>
      <c r="F479" s="31"/>
      <c r="G479" s="31"/>
      <c r="H479" s="31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</row>
    <row r="480" spans="1:19" s="27" customFormat="1" ht="31.5" x14ac:dyDescent="0.2">
      <c r="A480" s="18"/>
      <c r="B480" s="19" t="s">
        <v>494</v>
      </c>
      <c r="C480" s="32">
        <v>8.01</v>
      </c>
      <c r="D480" s="21" t="s">
        <v>516</v>
      </c>
      <c r="E480" s="20" t="s">
        <v>13</v>
      </c>
      <c r="F480" s="22">
        <v>127.22</v>
      </c>
      <c r="G480" s="40">
        <v>100226.352</v>
      </c>
      <c r="H480" s="24">
        <f>ROUND(F480*G480,0)</f>
        <v>12750797</v>
      </c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</row>
    <row r="481" spans="1:19" s="27" customFormat="1" ht="31.5" x14ac:dyDescent="0.2">
      <c r="A481" s="18"/>
      <c r="B481" s="19" t="s">
        <v>494</v>
      </c>
      <c r="C481" s="32">
        <v>8.02</v>
      </c>
      <c r="D481" s="21" t="s">
        <v>500</v>
      </c>
      <c r="E481" s="20" t="s">
        <v>16</v>
      </c>
      <c r="F481" s="22">
        <v>344.38</v>
      </c>
      <c r="G481" s="40">
        <v>43727.447999999997</v>
      </c>
      <c r="H481" s="24">
        <f>ROUND(F481*G481,0)</f>
        <v>15058859</v>
      </c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</row>
    <row r="482" spans="1:19" s="27" customFormat="1" ht="31.5" x14ac:dyDescent="0.2">
      <c r="A482" s="18"/>
      <c r="B482" s="19" t="s">
        <v>494</v>
      </c>
      <c r="C482" s="32">
        <v>8.0299999999999994</v>
      </c>
      <c r="D482" s="21" t="s">
        <v>501</v>
      </c>
      <c r="E482" s="20" t="s">
        <v>23</v>
      </c>
      <c r="F482" s="22">
        <v>1.44</v>
      </c>
      <c r="G482" s="40">
        <v>1327870.236</v>
      </c>
      <c r="H482" s="24">
        <f>ROUND(F482*G482,0)</f>
        <v>1912133</v>
      </c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</row>
    <row r="483" spans="1:19" s="27" customFormat="1" ht="31.5" x14ac:dyDescent="0.2">
      <c r="A483" s="18"/>
      <c r="B483" s="19" t="s">
        <v>494</v>
      </c>
      <c r="C483" s="32">
        <v>8.0399999999999991</v>
      </c>
      <c r="D483" s="21" t="s">
        <v>214</v>
      </c>
      <c r="E483" s="20" t="s">
        <v>48</v>
      </c>
      <c r="F483" s="22">
        <v>1425.96</v>
      </c>
      <c r="G483" s="40">
        <v>6597.1319999999996</v>
      </c>
      <c r="H483" s="24">
        <f>ROUND(F483*G483,0)</f>
        <v>9407246</v>
      </c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</row>
    <row r="484" spans="1:19" s="27" customFormat="1" ht="31.5" x14ac:dyDescent="0.2">
      <c r="A484" s="18"/>
      <c r="B484" s="19" t="s">
        <v>494</v>
      </c>
      <c r="C484" s="32">
        <v>8.0500000000000007</v>
      </c>
      <c r="D484" s="21" t="s">
        <v>502</v>
      </c>
      <c r="E484" s="20" t="s">
        <v>13</v>
      </c>
      <c r="F484" s="22">
        <v>602.66999999999996</v>
      </c>
      <c r="G484" s="40">
        <v>33372.443999999996</v>
      </c>
      <c r="H484" s="24">
        <f>ROUND(F484*G484,0)</f>
        <v>20112571</v>
      </c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</row>
    <row r="485" spans="1:19" s="27" customFormat="1" ht="31.5" x14ac:dyDescent="0.2">
      <c r="A485" s="18"/>
      <c r="B485" s="19" t="s">
        <v>494</v>
      </c>
      <c r="C485" s="32">
        <v>8.06</v>
      </c>
      <c r="D485" s="21" t="s">
        <v>503</v>
      </c>
      <c r="E485" s="20" t="s">
        <v>16</v>
      </c>
      <c r="F485" s="22">
        <v>661.78</v>
      </c>
      <c r="G485" s="40">
        <v>29333.016</v>
      </c>
      <c r="H485" s="24">
        <f>ROUND(F485*G485,0)</f>
        <v>19412003</v>
      </c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</row>
    <row r="486" spans="1:19" s="27" customFormat="1" ht="31.5" x14ac:dyDescent="0.2">
      <c r="A486" s="18"/>
      <c r="B486" s="19" t="s">
        <v>494</v>
      </c>
      <c r="C486" s="32">
        <v>8.07</v>
      </c>
      <c r="D486" s="21" t="s">
        <v>504</v>
      </c>
      <c r="E486" s="20" t="s">
        <v>16</v>
      </c>
      <c r="F486" s="22">
        <v>403.2</v>
      </c>
      <c r="G486" s="40">
        <v>24913.439999999999</v>
      </c>
      <c r="H486" s="24">
        <f>ROUND(F486*G486,0)</f>
        <v>10045099</v>
      </c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</row>
    <row r="487" spans="1:19" s="27" customFormat="1" ht="31.5" x14ac:dyDescent="0.2">
      <c r="A487" s="18"/>
      <c r="B487" s="19" t="s">
        <v>494</v>
      </c>
      <c r="C487" s="32">
        <v>8.08</v>
      </c>
      <c r="D487" s="21" t="s">
        <v>517</v>
      </c>
      <c r="E487" s="20" t="s">
        <v>13</v>
      </c>
      <c r="F487" s="22">
        <v>688.37</v>
      </c>
      <c r="G487" s="40">
        <v>7463.6039999999994</v>
      </c>
      <c r="H487" s="24">
        <f>ROUND(F487*G487,0)</f>
        <v>5137721</v>
      </c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</row>
    <row r="488" spans="1:19" s="27" customFormat="1" ht="31.5" x14ac:dyDescent="0.2">
      <c r="A488" s="18"/>
      <c r="B488" s="19" t="s">
        <v>494</v>
      </c>
      <c r="C488" s="32">
        <v>8.09</v>
      </c>
      <c r="D488" s="21" t="s">
        <v>507</v>
      </c>
      <c r="E488" s="20" t="s">
        <v>19</v>
      </c>
      <c r="F488" s="22">
        <v>138</v>
      </c>
      <c r="G488" s="40">
        <v>18759.971999999998</v>
      </c>
      <c r="H488" s="24">
        <f>ROUND(F488*G488,0)</f>
        <v>2588876</v>
      </c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</row>
    <row r="489" spans="1:19" s="27" customFormat="1" ht="31.5" x14ac:dyDescent="0.2">
      <c r="A489" s="18"/>
      <c r="B489" s="19" t="s">
        <v>494</v>
      </c>
      <c r="C489" s="35">
        <v>8.1</v>
      </c>
      <c r="D489" s="21" t="s">
        <v>510</v>
      </c>
      <c r="E489" s="20" t="s">
        <v>16</v>
      </c>
      <c r="F489" s="22">
        <v>1721.9</v>
      </c>
      <c r="G489" s="40">
        <v>14081.591999999999</v>
      </c>
      <c r="H489" s="24">
        <f>ROUND(F489*G489,0)</f>
        <v>24247093</v>
      </c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</row>
    <row r="490" spans="1:19" s="30" customFormat="1" ht="31.5" x14ac:dyDescent="0.2">
      <c r="A490" s="28"/>
      <c r="B490" s="6" t="s">
        <v>494</v>
      </c>
      <c r="C490" s="11">
        <v>9</v>
      </c>
      <c r="D490" s="12" t="s">
        <v>518</v>
      </c>
      <c r="E490" s="31"/>
      <c r="F490" s="31"/>
      <c r="G490" s="31"/>
      <c r="H490" s="31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</row>
    <row r="491" spans="1:19" s="27" customFormat="1" ht="31.5" x14ac:dyDescent="0.2">
      <c r="A491" s="18"/>
      <c r="B491" s="19" t="s">
        <v>494</v>
      </c>
      <c r="C491" s="32">
        <v>9.01</v>
      </c>
      <c r="D491" s="21" t="s">
        <v>512</v>
      </c>
      <c r="E491" s="20" t="s">
        <v>13</v>
      </c>
      <c r="F491" s="22">
        <v>127.22</v>
      </c>
      <c r="G491" s="40">
        <v>42665.687999999995</v>
      </c>
      <c r="H491" s="24">
        <f>ROUND(F491*G491,0)</f>
        <v>5427929</v>
      </c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</row>
    <row r="492" spans="1:19" s="27" customFormat="1" ht="31.5" x14ac:dyDescent="0.2">
      <c r="A492" s="18"/>
      <c r="B492" s="19" t="s">
        <v>494</v>
      </c>
      <c r="C492" s="32">
        <v>9.02</v>
      </c>
      <c r="D492" s="21" t="s">
        <v>513</v>
      </c>
      <c r="E492" s="20" t="s">
        <v>13</v>
      </c>
      <c r="F492" s="22">
        <v>127.22</v>
      </c>
      <c r="G492" s="40">
        <v>39358.115999999995</v>
      </c>
      <c r="H492" s="24">
        <f>ROUND(F492*G492,0)</f>
        <v>5007140</v>
      </c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</row>
    <row r="493" spans="1:19" s="30" customFormat="1" ht="31.5" x14ac:dyDescent="0.2">
      <c r="A493" s="28"/>
      <c r="B493" s="6" t="s">
        <v>494</v>
      </c>
      <c r="C493" s="11">
        <v>10</v>
      </c>
      <c r="D493" s="12" t="s">
        <v>208</v>
      </c>
      <c r="E493" s="31"/>
      <c r="F493" s="31"/>
      <c r="G493" s="31"/>
      <c r="H493" s="31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</row>
    <row r="494" spans="1:19" s="27" customFormat="1" ht="31.5" x14ac:dyDescent="0.2">
      <c r="A494" s="18"/>
      <c r="B494" s="19" t="s">
        <v>494</v>
      </c>
      <c r="C494" s="32">
        <v>10.01</v>
      </c>
      <c r="D494" s="21" t="s">
        <v>22</v>
      </c>
      <c r="E494" s="20" t="s">
        <v>23</v>
      </c>
      <c r="F494" s="22">
        <v>71.83</v>
      </c>
      <c r="G494" s="40">
        <v>27462.611999999997</v>
      </c>
      <c r="H494" s="24">
        <f>ROUND(F494*G494,0)</f>
        <v>1972639</v>
      </c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</row>
    <row r="495" spans="1:19" s="27" customFormat="1" ht="31.5" x14ac:dyDescent="0.2">
      <c r="A495" s="18"/>
      <c r="B495" s="19" t="s">
        <v>494</v>
      </c>
      <c r="C495" s="32">
        <v>10.02</v>
      </c>
      <c r="D495" s="21" t="s">
        <v>153</v>
      </c>
      <c r="E495" s="20" t="s">
        <v>23</v>
      </c>
      <c r="F495" s="22">
        <v>71.83</v>
      </c>
      <c r="G495" s="40">
        <v>5493.66</v>
      </c>
      <c r="H495" s="24">
        <f>ROUND(F495*G495,0)</f>
        <v>394610</v>
      </c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</row>
    <row r="496" spans="1:19" s="27" customFormat="1" ht="31.5" x14ac:dyDescent="0.2">
      <c r="A496" s="18"/>
      <c r="B496" s="19" t="s">
        <v>494</v>
      </c>
      <c r="C496" s="32">
        <v>10.029999999999999</v>
      </c>
      <c r="D496" s="21" t="s">
        <v>37</v>
      </c>
      <c r="E496" s="20" t="s">
        <v>38</v>
      </c>
      <c r="F496" s="22">
        <v>2061.58</v>
      </c>
      <c r="G496" s="40">
        <v>1598.328</v>
      </c>
      <c r="H496" s="24">
        <f>ROUND(F496*G496,0)</f>
        <v>3295081</v>
      </c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</row>
    <row r="497" spans="1:19" s="30" customFormat="1" ht="31.5" x14ac:dyDescent="0.2">
      <c r="A497" s="28"/>
      <c r="B497" s="6" t="s">
        <v>494</v>
      </c>
      <c r="C497" s="11">
        <v>11</v>
      </c>
      <c r="D497" s="12" t="s">
        <v>519</v>
      </c>
      <c r="E497" s="31"/>
      <c r="F497" s="31"/>
      <c r="G497" s="31"/>
      <c r="H497" s="31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</row>
    <row r="498" spans="1:19" s="27" customFormat="1" ht="31.5" x14ac:dyDescent="0.2">
      <c r="A498" s="18"/>
      <c r="B498" s="19" t="s">
        <v>494</v>
      </c>
      <c r="C498" s="32">
        <v>11.01</v>
      </c>
      <c r="D498" s="21" t="s">
        <v>496</v>
      </c>
      <c r="E498" s="20" t="s">
        <v>23</v>
      </c>
      <c r="F498" s="22">
        <v>11.2</v>
      </c>
      <c r="G498" s="40">
        <v>872684.24399999995</v>
      </c>
      <c r="H498" s="24">
        <f>ROUND(F498*G498,0)</f>
        <v>9774064</v>
      </c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</row>
    <row r="499" spans="1:19" s="27" customFormat="1" ht="31.5" x14ac:dyDescent="0.2">
      <c r="A499" s="18"/>
      <c r="B499" s="19" t="s">
        <v>494</v>
      </c>
      <c r="C499" s="32">
        <v>11.02</v>
      </c>
      <c r="D499" s="21" t="s">
        <v>520</v>
      </c>
      <c r="E499" s="20" t="s">
        <v>23</v>
      </c>
      <c r="F499" s="22">
        <v>5.53</v>
      </c>
      <c r="G499" s="40">
        <v>761556.84</v>
      </c>
      <c r="H499" s="24">
        <f>ROUND(F499*G499,0)</f>
        <v>4211409</v>
      </c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</row>
    <row r="500" spans="1:19" s="27" customFormat="1" ht="31.5" x14ac:dyDescent="0.2">
      <c r="A500" s="18"/>
      <c r="B500" s="19" t="s">
        <v>494</v>
      </c>
      <c r="C500" s="32">
        <v>11.03</v>
      </c>
      <c r="D500" s="21" t="s">
        <v>521</v>
      </c>
      <c r="E500" s="20" t="s">
        <v>23</v>
      </c>
      <c r="F500" s="22">
        <v>33</v>
      </c>
      <c r="G500" s="40">
        <v>604314.924</v>
      </c>
      <c r="H500" s="24">
        <f>ROUND(F500*G500,0)</f>
        <v>19942392</v>
      </c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</row>
    <row r="501" spans="1:19" s="27" customFormat="1" ht="31.5" x14ac:dyDescent="0.2">
      <c r="A501" s="18"/>
      <c r="B501" s="19" t="s">
        <v>494</v>
      </c>
      <c r="C501" s="32">
        <v>11.04</v>
      </c>
      <c r="D501" s="21" t="s">
        <v>214</v>
      </c>
      <c r="E501" s="20" t="s">
        <v>48</v>
      </c>
      <c r="F501" s="22">
        <v>2064.6</v>
      </c>
      <c r="G501" s="40">
        <v>6597.1319999999996</v>
      </c>
      <c r="H501" s="24">
        <f>ROUND(F501*G501,0)</f>
        <v>13620439</v>
      </c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</row>
    <row r="502" spans="1:19" s="30" customFormat="1" ht="31.5" x14ac:dyDescent="0.2">
      <c r="A502" s="28"/>
      <c r="B502" s="6" t="s">
        <v>494</v>
      </c>
      <c r="C502" s="11">
        <v>12</v>
      </c>
      <c r="D502" s="12" t="s">
        <v>498</v>
      </c>
      <c r="E502" s="31"/>
      <c r="F502" s="31"/>
      <c r="G502" s="31"/>
      <c r="H502" s="31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</row>
    <row r="503" spans="1:19" s="27" customFormat="1" ht="31.5" x14ac:dyDescent="0.2">
      <c r="A503" s="18"/>
      <c r="B503" s="19" t="s">
        <v>494</v>
      </c>
      <c r="C503" s="32">
        <v>12.01</v>
      </c>
      <c r="D503" s="21" t="s">
        <v>522</v>
      </c>
      <c r="E503" s="20" t="s">
        <v>523</v>
      </c>
      <c r="F503" s="22">
        <v>18981.36</v>
      </c>
      <c r="G503" s="40">
        <v>18429.116135817098</v>
      </c>
      <c r="H503" s="24">
        <f>ROUND(F503*G503,0)</f>
        <v>349809688</v>
      </c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</row>
    <row r="504" spans="1:19" s="27" customFormat="1" ht="71.25" x14ac:dyDescent="0.2">
      <c r="A504" s="18"/>
      <c r="B504" s="19" t="s">
        <v>494</v>
      </c>
      <c r="C504" s="32">
        <v>12.02</v>
      </c>
      <c r="D504" s="21" t="s">
        <v>373</v>
      </c>
      <c r="E504" s="20" t="s">
        <v>13</v>
      </c>
      <c r="F504" s="22">
        <v>5476.09</v>
      </c>
      <c r="G504" s="40">
        <v>27492</v>
      </c>
      <c r="H504" s="24">
        <f>ROUND(F504*G504,0)</f>
        <v>150548666</v>
      </c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</row>
    <row r="505" spans="1:19" s="30" customFormat="1" ht="31.5" x14ac:dyDescent="0.2">
      <c r="A505" s="28"/>
      <c r="B505" s="6" t="s">
        <v>494</v>
      </c>
      <c r="C505" s="11">
        <v>13</v>
      </c>
      <c r="D505" s="12" t="s">
        <v>76</v>
      </c>
      <c r="E505" s="31"/>
      <c r="F505" s="31"/>
      <c r="G505" s="31"/>
      <c r="H505" s="31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</row>
    <row r="506" spans="1:19" s="27" customFormat="1" ht="31.5" x14ac:dyDescent="0.2">
      <c r="A506" s="18"/>
      <c r="B506" s="19" t="s">
        <v>494</v>
      </c>
      <c r="C506" s="32">
        <v>13.01</v>
      </c>
      <c r="D506" s="21" t="s">
        <v>76</v>
      </c>
      <c r="E506" s="20" t="s">
        <v>13</v>
      </c>
      <c r="F506" s="22">
        <v>1152.06</v>
      </c>
      <c r="G506" s="40">
        <v>969.80399999999997</v>
      </c>
      <c r="H506" s="24">
        <f>ROUND(F506*G506,0)</f>
        <v>1117272</v>
      </c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</row>
    <row r="507" spans="1:19" s="30" customFormat="1" ht="31.5" x14ac:dyDescent="0.2">
      <c r="A507" s="28"/>
      <c r="B507" s="6" t="s">
        <v>494</v>
      </c>
      <c r="C507" s="11">
        <v>14</v>
      </c>
      <c r="D507" s="12" t="s">
        <v>138</v>
      </c>
      <c r="E507" s="31"/>
      <c r="F507" s="31"/>
      <c r="G507" s="31"/>
      <c r="H507" s="31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</row>
    <row r="508" spans="1:19" s="27" customFormat="1" ht="31.5" x14ac:dyDescent="0.2">
      <c r="A508" s="18"/>
      <c r="B508" s="19" t="s">
        <v>494</v>
      </c>
      <c r="C508" s="32">
        <v>14.01</v>
      </c>
      <c r="D508" s="21" t="s">
        <v>138</v>
      </c>
      <c r="E508" s="20" t="s">
        <v>139</v>
      </c>
      <c r="F508" s="34">
        <v>0.02</v>
      </c>
      <c r="G508" s="40">
        <v>917329408.13999999</v>
      </c>
      <c r="H508" s="24">
        <f>ROUND(F508*G508,0)</f>
        <v>18346588</v>
      </c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</row>
    <row r="509" spans="1:19" s="30" customFormat="1" ht="78.75" hidden="1" x14ac:dyDescent="0.2">
      <c r="A509" s="28"/>
      <c r="B509" s="7" t="s">
        <v>524</v>
      </c>
      <c r="C509" s="11">
        <v>1</v>
      </c>
      <c r="D509" s="12" t="s">
        <v>519</v>
      </c>
      <c r="E509" s="31"/>
      <c r="F509" s="31"/>
      <c r="G509" s="31"/>
      <c r="H509" s="31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</row>
    <row r="510" spans="1:19" s="30" customFormat="1" ht="78.75" hidden="1" x14ac:dyDescent="0.2">
      <c r="A510" s="28"/>
      <c r="B510" s="7" t="s">
        <v>524</v>
      </c>
      <c r="C510" s="13">
        <v>1.1000000000000001</v>
      </c>
      <c r="D510" s="12" t="s">
        <v>10</v>
      </c>
      <c r="E510" s="15"/>
      <c r="F510" s="16"/>
      <c r="G510" s="16"/>
      <c r="H510" s="17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</row>
    <row r="511" spans="1:19" s="27" customFormat="1" ht="78.75" hidden="1" x14ac:dyDescent="0.2">
      <c r="A511" s="18"/>
      <c r="B511" s="7" t="s">
        <v>524</v>
      </c>
      <c r="C511" s="20" t="s">
        <v>11</v>
      </c>
      <c r="D511" s="21" t="s">
        <v>12</v>
      </c>
      <c r="E511" s="20" t="s">
        <v>13</v>
      </c>
      <c r="F511" s="22">
        <v>9</v>
      </c>
      <c r="G511" s="40">
        <v>5503.1399999999994</v>
      </c>
      <c r="H511" s="24">
        <f>ROUND(F511*G511,0)</f>
        <v>49528</v>
      </c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</row>
    <row r="512" spans="1:19" s="27" customFormat="1" ht="78.75" hidden="1" x14ac:dyDescent="0.2">
      <c r="A512" s="18"/>
      <c r="B512" s="7" t="s">
        <v>524</v>
      </c>
      <c r="C512" s="20" t="s">
        <v>14</v>
      </c>
      <c r="D512" s="21" t="s">
        <v>15</v>
      </c>
      <c r="E512" s="20" t="s">
        <v>16</v>
      </c>
      <c r="F512" s="22">
        <v>24</v>
      </c>
      <c r="G512" s="40">
        <v>11403.492</v>
      </c>
      <c r="H512" s="24">
        <f>ROUND(F512*G512,0)</f>
        <v>273684</v>
      </c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</row>
    <row r="513" spans="1:19" s="27" customFormat="1" ht="78.75" hidden="1" x14ac:dyDescent="0.2">
      <c r="A513" s="18"/>
      <c r="B513" s="7" t="s">
        <v>524</v>
      </c>
      <c r="C513" s="20" t="s">
        <v>17</v>
      </c>
      <c r="D513" s="21" t="s">
        <v>18</v>
      </c>
      <c r="E513" s="20" t="s">
        <v>19</v>
      </c>
      <c r="F513" s="22">
        <v>1</v>
      </c>
      <c r="G513" s="40">
        <v>3204661.86</v>
      </c>
      <c r="H513" s="24">
        <f>ROUND(F513*G513,0)</f>
        <v>3204662</v>
      </c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</row>
    <row r="514" spans="1:19" s="30" customFormat="1" ht="78.75" hidden="1" x14ac:dyDescent="0.2">
      <c r="A514" s="28"/>
      <c r="B514" s="7" t="s">
        <v>524</v>
      </c>
      <c r="C514" s="13">
        <v>1.2</v>
      </c>
      <c r="D514" s="12" t="s">
        <v>20</v>
      </c>
      <c r="E514" s="15"/>
      <c r="F514" s="16"/>
      <c r="G514" s="16"/>
      <c r="H514" s="17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</row>
    <row r="515" spans="1:19" s="27" customFormat="1" ht="78.75" hidden="1" x14ac:dyDescent="0.2">
      <c r="A515" s="18"/>
      <c r="B515" s="7" t="s">
        <v>524</v>
      </c>
      <c r="C515" s="20" t="s">
        <v>21</v>
      </c>
      <c r="D515" s="21" t="s">
        <v>22</v>
      </c>
      <c r="E515" s="20" t="s">
        <v>23</v>
      </c>
      <c r="F515" s="22">
        <v>17.760000000000002</v>
      </c>
      <c r="G515" s="40">
        <v>27462.611999999997</v>
      </c>
      <c r="H515" s="24">
        <f>ROUND(F515*G515,0)</f>
        <v>487736</v>
      </c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</row>
    <row r="516" spans="1:19" s="27" customFormat="1" ht="78.75" hidden="1" x14ac:dyDescent="0.2">
      <c r="A516" s="18"/>
      <c r="B516" s="7" t="s">
        <v>524</v>
      </c>
      <c r="C516" s="20" t="s">
        <v>24</v>
      </c>
      <c r="D516" s="21" t="s">
        <v>27</v>
      </c>
      <c r="E516" s="20" t="s">
        <v>23</v>
      </c>
      <c r="F516" s="22">
        <v>3.15</v>
      </c>
      <c r="G516" s="40">
        <v>69488.399999999994</v>
      </c>
      <c r="H516" s="24">
        <f>ROUND(F516*G516,0)</f>
        <v>218888</v>
      </c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</row>
    <row r="517" spans="1:19" s="27" customFormat="1" ht="78.75" hidden="1" x14ac:dyDescent="0.2">
      <c r="A517" s="18"/>
      <c r="B517" s="7" t="s">
        <v>524</v>
      </c>
      <c r="C517" s="20" t="s">
        <v>26</v>
      </c>
      <c r="D517" s="21" t="s">
        <v>525</v>
      </c>
      <c r="E517" s="20" t="s">
        <v>13</v>
      </c>
      <c r="F517" s="22">
        <v>7.87</v>
      </c>
      <c r="G517" s="40">
        <v>7161.192</v>
      </c>
      <c r="H517" s="24">
        <f>ROUND(F517*G517,0)</f>
        <v>56359</v>
      </c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</row>
    <row r="518" spans="1:19" s="27" customFormat="1" ht="78.75" hidden="1" x14ac:dyDescent="0.2">
      <c r="A518" s="18"/>
      <c r="B518" s="7" t="s">
        <v>524</v>
      </c>
      <c r="C518" s="20" t="s">
        <v>28</v>
      </c>
      <c r="D518" s="21" t="s">
        <v>33</v>
      </c>
      <c r="E518" s="20" t="s">
        <v>13</v>
      </c>
      <c r="F518" s="22">
        <v>7.87</v>
      </c>
      <c r="G518" s="40">
        <v>5481.3359999999993</v>
      </c>
      <c r="H518" s="24">
        <f>ROUND(F518*G518,0)</f>
        <v>43138</v>
      </c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</row>
    <row r="519" spans="1:19" s="27" customFormat="1" ht="78.75" hidden="1" x14ac:dyDescent="0.2">
      <c r="A519" s="18"/>
      <c r="B519" s="7" t="s">
        <v>524</v>
      </c>
      <c r="C519" s="20" t="s">
        <v>30</v>
      </c>
      <c r="D519" s="21" t="s">
        <v>37</v>
      </c>
      <c r="E519" s="20" t="s">
        <v>38</v>
      </c>
      <c r="F519" s="22">
        <v>120.96</v>
      </c>
      <c r="G519" s="40">
        <v>1598.328</v>
      </c>
      <c r="H519" s="24">
        <f>ROUND(F519*G519,0)</f>
        <v>193334</v>
      </c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</row>
    <row r="520" spans="1:19" s="27" customFormat="1" ht="78.75" hidden="1" x14ac:dyDescent="0.2">
      <c r="A520" s="18"/>
      <c r="B520" s="7" t="s">
        <v>524</v>
      </c>
      <c r="C520" s="20" t="s">
        <v>32</v>
      </c>
      <c r="D520" s="21" t="s">
        <v>526</v>
      </c>
      <c r="E520" s="20" t="s">
        <v>23</v>
      </c>
      <c r="F520" s="22">
        <v>23.09</v>
      </c>
      <c r="G520" s="40">
        <v>27449.34</v>
      </c>
      <c r="H520" s="24">
        <f>ROUND(F520*G520,0)</f>
        <v>633805</v>
      </c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</row>
    <row r="521" spans="1:19" s="27" customFormat="1" ht="78.75" hidden="1" x14ac:dyDescent="0.2">
      <c r="A521" s="18"/>
      <c r="B521" s="7" t="s">
        <v>524</v>
      </c>
      <c r="C521" s="20" t="s">
        <v>34</v>
      </c>
      <c r="D521" s="21" t="s">
        <v>231</v>
      </c>
      <c r="E521" s="20" t="s">
        <v>23</v>
      </c>
      <c r="F521" s="22">
        <v>23.09</v>
      </c>
      <c r="G521" s="40">
        <v>10328.459999999999</v>
      </c>
      <c r="H521" s="24">
        <f>ROUND(F521*G521,0)</f>
        <v>238484</v>
      </c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</row>
    <row r="522" spans="1:19" s="27" customFormat="1" ht="78.75" hidden="1" x14ac:dyDescent="0.2">
      <c r="A522" s="18"/>
      <c r="B522" s="7" t="s">
        <v>524</v>
      </c>
      <c r="C522" s="20" t="s">
        <v>36</v>
      </c>
      <c r="D522" s="21" t="s">
        <v>40</v>
      </c>
      <c r="E522" s="20" t="s">
        <v>23</v>
      </c>
      <c r="F522" s="22">
        <v>3.15</v>
      </c>
      <c r="G522" s="40">
        <v>10328.459999999999</v>
      </c>
      <c r="H522" s="24">
        <f>ROUND(F522*G522,0)</f>
        <v>32535</v>
      </c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</row>
    <row r="523" spans="1:19" s="30" customFormat="1" ht="78.75" hidden="1" x14ac:dyDescent="0.2">
      <c r="A523" s="28"/>
      <c r="B523" s="7" t="s">
        <v>524</v>
      </c>
      <c r="C523" s="13">
        <v>1.3</v>
      </c>
      <c r="D523" s="12" t="s">
        <v>527</v>
      </c>
      <c r="E523" s="15"/>
      <c r="F523" s="16"/>
      <c r="G523" s="16"/>
      <c r="H523" s="17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</row>
    <row r="524" spans="1:19" s="27" customFormat="1" ht="78.75" hidden="1" x14ac:dyDescent="0.2">
      <c r="A524" s="18"/>
      <c r="B524" s="7" t="s">
        <v>524</v>
      </c>
      <c r="C524" s="20" t="s">
        <v>44</v>
      </c>
      <c r="D524" s="21" t="s">
        <v>528</v>
      </c>
      <c r="E524" s="20" t="s">
        <v>23</v>
      </c>
      <c r="F524" s="22">
        <v>9</v>
      </c>
      <c r="G524" s="40">
        <v>1210767.588</v>
      </c>
      <c r="H524" s="24">
        <f>ROUND(F524*G524,0)</f>
        <v>10896908</v>
      </c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</row>
    <row r="525" spans="1:19" s="27" customFormat="1" ht="78.75" hidden="1" x14ac:dyDescent="0.2">
      <c r="A525" s="18"/>
      <c r="B525" s="7" t="s">
        <v>524</v>
      </c>
      <c r="C525" s="20" t="s">
        <v>46</v>
      </c>
      <c r="D525" s="21" t="s">
        <v>529</v>
      </c>
      <c r="E525" s="20" t="s">
        <v>23</v>
      </c>
      <c r="F525" s="22">
        <v>4.53</v>
      </c>
      <c r="G525" s="40">
        <v>761556.84</v>
      </c>
      <c r="H525" s="24">
        <f>ROUND(F525*G525,0)</f>
        <v>3449852</v>
      </c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</row>
    <row r="526" spans="1:19" s="27" customFormat="1" ht="78.75" hidden="1" x14ac:dyDescent="0.2">
      <c r="A526" s="18"/>
      <c r="B526" s="7" t="s">
        <v>524</v>
      </c>
      <c r="C526" s="20" t="s">
        <v>49</v>
      </c>
      <c r="D526" s="21" t="s">
        <v>530</v>
      </c>
      <c r="E526" s="20" t="s">
        <v>523</v>
      </c>
      <c r="F526" s="22">
        <v>1219.23</v>
      </c>
      <c r="G526" s="40">
        <v>6597.1319999999996</v>
      </c>
      <c r="H526" s="24">
        <f>ROUND(F526*G526,0)</f>
        <v>8043421</v>
      </c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</row>
    <row r="527" spans="1:19" s="27" customFormat="1" ht="78.75" hidden="1" x14ac:dyDescent="0.2">
      <c r="A527" s="18"/>
      <c r="B527" s="7" t="s">
        <v>524</v>
      </c>
      <c r="C527" s="20" t="s">
        <v>51</v>
      </c>
      <c r="D527" s="21" t="s">
        <v>531</v>
      </c>
      <c r="E527" s="20" t="s">
        <v>13</v>
      </c>
      <c r="F527" s="22">
        <v>7.87</v>
      </c>
      <c r="G527" s="40">
        <v>41831.447999999997</v>
      </c>
      <c r="H527" s="24">
        <f>ROUND(F527*G527,0)</f>
        <v>329213</v>
      </c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</row>
    <row r="528" spans="1:19" s="27" customFormat="1" ht="78.75" hidden="1" x14ac:dyDescent="0.2">
      <c r="A528" s="18"/>
      <c r="B528" s="7" t="s">
        <v>524</v>
      </c>
      <c r="C528" s="20" t="s">
        <v>53</v>
      </c>
      <c r="D528" s="21" t="s">
        <v>532</v>
      </c>
      <c r="E528" s="20" t="s">
        <v>523</v>
      </c>
      <c r="F528" s="22">
        <v>67.650000000000006</v>
      </c>
      <c r="G528" s="40">
        <v>22929.275999999998</v>
      </c>
      <c r="H528" s="24">
        <f>ROUND(F528*G528,0)</f>
        <v>1551166</v>
      </c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</row>
    <row r="529" spans="1:19" s="30" customFormat="1" ht="78.75" hidden="1" x14ac:dyDescent="0.2">
      <c r="A529" s="28"/>
      <c r="B529" s="7" t="s">
        <v>524</v>
      </c>
      <c r="C529" s="11">
        <v>2</v>
      </c>
      <c r="D529" s="12" t="s">
        <v>78</v>
      </c>
      <c r="E529" s="31"/>
      <c r="F529" s="31"/>
      <c r="G529" s="31"/>
      <c r="H529" s="31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</row>
    <row r="530" spans="1:19" s="30" customFormat="1" ht="78.75" hidden="1" x14ac:dyDescent="0.2">
      <c r="A530" s="28"/>
      <c r="B530" s="7" t="s">
        <v>524</v>
      </c>
      <c r="C530" s="13">
        <v>2.1</v>
      </c>
      <c r="D530" s="12" t="s">
        <v>533</v>
      </c>
      <c r="E530" s="15"/>
      <c r="F530" s="16"/>
      <c r="G530" s="16"/>
      <c r="H530" s="17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</row>
    <row r="531" spans="1:19" s="27" customFormat="1" ht="78.75" hidden="1" x14ac:dyDescent="0.2">
      <c r="A531" s="18"/>
      <c r="B531" s="7" t="s">
        <v>524</v>
      </c>
      <c r="C531" s="32">
        <v>2.1</v>
      </c>
      <c r="D531" s="21" t="s">
        <v>533</v>
      </c>
      <c r="E531" s="20" t="s">
        <v>534</v>
      </c>
      <c r="F531" s="22">
        <v>1</v>
      </c>
      <c r="G531" s="40">
        <v>60923034.191999994</v>
      </c>
      <c r="H531" s="24">
        <f>ROUND(F531*G531,0)</f>
        <v>60923034</v>
      </c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</row>
    <row r="532" spans="1:19" s="30" customFormat="1" ht="78.75" hidden="1" x14ac:dyDescent="0.2">
      <c r="A532" s="28"/>
      <c r="B532" s="7" t="s">
        <v>524</v>
      </c>
      <c r="C532" s="13">
        <v>2.2000000000000002</v>
      </c>
      <c r="D532" s="12" t="s">
        <v>79</v>
      </c>
      <c r="E532" s="15"/>
      <c r="F532" s="16"/>
      <c r="G532" s="16"/>
      <c r="H532" s="17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</row>
    <row r="533" spans="1:19" s="27" customFormat="1" ht="78.75" hidden="1" x14ac:dyDescent="0.2">
      <c r="A533" s="18"/>
      <c r="B533" s="7" t="s">
        <v>524</v>
      </c>
      <c r="C533" s="20" t="s">
        <v>70</v>
      </c>
      <c r="D533" s="21" t="s">
        <v>535</v>
      </c>
      <c r="E533" s="20" t="s">
        <v>16</v>
      </c>
      <c r="F533" s="22">
        <v>400</v>
      </c>
      <c r="G533" s="40">
        <v>48096.78</v>
      </c>
      <c r="H533" s="24">
        <f>ROUND(F533*G533,0)</f>
        <v>19238712</v>
      </c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</row>
    <row r="534" spans="1:19" s="27" customFormat="1" ht="78.75" hidden="1" x14ac:dyDescent="0.2">
      <c r="A534" s="18"/>
      <c r="B534" s="7" t="s">
        <v>524</v>
      </c>
      <c r="C534" s="20" t="s">
        <v>72</v>
      </c>
      <c r="D534" s="21" t="s">
        <v>129</v>
      </c>
      <c r="E534" s="20" t="s">
        <v>16</v>
      </c>
      <c r="F534" s="22">
        <v>100</v>
      </c>
      <c r="G534" s="40">
        <v>29850.624</v>
      </c>
      <c r="H534" s="24">
        <f>ROUND(F534*G534,0)</f>
        <v>2985062</v>
      </c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</row>
    <row r="535" spans="1:19" s="27" customFormat="1" ht="78.75" hidden="1" x14ac:dyDescent="0.2">
      <c r="A535" s="18"/>
      <c r="B535" s="7" t="s">
        <v>524</v>
      </c>
      <c r="C535" s="20" t="s">
        <v>74</v>
      </c>
      <c r="D535" s="21" t="s">
        <v>536</v>
      </c>
      <c r="E535" s="20" t="s">
        <v>19</v>
      </c>
      <c r="F535" s="22">
        <v>6</v>
      </c>
      <c r="G535" s="40">
        <v>137746.296</v>
      </c>
      <c r="H535" s="24">
        <f>ROUND(F535*G535,0)</f>
        <v>826478</v>
      </c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</row>
    <row r="536" spans="1:19" s="27" customFormat="1" ht="78.75" hidden="1" x14ac:dyDescent="0.2">
      <c r="A536" s="18"/>
      <c r="B536" s="7" t="s">
        <v>524</v>
      </c>
      <c r="C536" s="20" t="s">
        <v>245</v>
      </c>
      <c r="D536" s="21" t="s">
        <v>537</v>
      </c>
      <c r="E536" s="20" t="s">
        <v>19</v>
      </c>
      <c r="F536" s="22">
        <v>2</v>
      </c>
      <c r="G536" s="40">
        <v>59038.595999999998</v>
      </c>
      <c r="H536" s="24">
        <f>ROUND(F536*G536,0)</f>
        <v>118077</v>
      </c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</row>
    <row r="537" spans="1:19" s="30" customFormat="1" ht="78.75" hidden="1" x14ac:dyDescent="0.2">
      <c r="A537" s="28"/>
      <c r="B537" s="7" t="s">
        <v>524</v>
      </c>
      <c r="C537" s="13">
        <v>2.2999999999999998</v>
      </c>
      <c r="D537" s="12" t="s">
        <v>538</v>
      </c>
      <c r="E537" s="15"/>
      <c r="F537" s="16"/>
      <c r="G537" s="16"/>
      <c r="H537" s="17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</row>
    <row r="538" spans="1:19" s="27" customFormat="1" ht="78.75" hidden="1" x14ac:dyDescent="0.2">
      <c r="A538" s="18"/>
      <c r="B538" s="7" t="s">
        <v>524</v>
      </c>
      <c r="C538" s="20" t="s">
        <v>253</v>
      </c>
      <c r="D538" s="21" t="s">
        <v>539</v>
      </c>
      <c r="E538" s="20" t="s">
        <v>16</v>
      </c>
      <c r="F538" s="22">
        <v>600</v>
      </c>
      <c r="G538" s="40">
        <v>43508.46</v>
      </c>
      <c r="H538" s="24">
        <f>ROUND(F538*G538,0)</f>
        <v>26105076</v>
      </c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</row>
    <row r="539" spans="1:19" s="30" customFormat="1" ht="78.75" hidden="1" x14ac:dyDescent="0.2">
      <c r="A539" s="28"/>
      <c r="B539" s="7" t="s">
        <v>524</v>
      </c>
      <c r="C539" s="13">
        <v>2.4</v>
      </c>
      <c r="D539" s="12" t="s">
        <v>90</v>
      </c>
      <c r="E539" s="15"/>
      <c r="F539" s="16"/>
      <c r="G539" s="16"/>
      <c r="H539" s="17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</row>
    <row r="540" spans="1:19" s="27" customFormat="1" ht="78.75" hidden="1" x14ac:dyDescent="0.2">
      <c r="A540" s="18"/>
      <c r="B540" s="7" t="s">
        <v>524</v>
      </c>
      <c r="C540" s="20" t="s">
        <v>259</v>
      </c>
      <c r="D540" s="21" t="s">
        <v>540</v>
      </c>
      <c r="E540" s="20" t="s">
        <v>19</v>
      </c>
      <c r="F540" s="22">
        <v>1</v>
      </c>
      <c r="G540" s="40">
        <v>10773516.816530241</v>
      </c>
      <c r="H540" s="24">
        <f>ROUND(F540*G540,0)</f>
        <v>10773517</v>
      </c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</row>
    <row r="541" spans="1:19" s="27" customFormat="1" ht="78.75" hidden="1" x14ac:dyDescent="0.2">
      <c r="A541" s="18"/>
      <c r="B541" s="7" t="s">
        <v>524</v>
      </c>
      <c r="C541" s="20" t="s">
        <v>260</v>
      </c>
      <c r="D541" s="21" t="s">
        <v>541</v>
      </c>
      <c r="E541" s="20" t="s">
        <v>19</v>
      </c>
      <c r="F541" s="22">
        <v>4</v>
      </c>
      <c r="G541" s="40">
        <v>10501311.684</v>
      </c>
      <c r="H541" s="24">
        <f>ROUND(F541*G541,0)</f>
        <v>42005247</v>
      </c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</row>
    <row r="542" spans="1:19" s="30" customFormat="1" ht="78.75" hidden="1" x14ac:dyDescent="0.2">
      <c r="A542" s="28"/>
      <c r="B542" s="7" t="s">
        <v>524</v>
      </c>
      <c r="C542" s="13">
        <v>2.5</v>
      </c>
      <c r="D542" s="12" t="s">
        <v>542</v>
      </c>
      <c r="E542" s="15"/>
      <c r="F542" s="16"/>
      <c r="G542" s="16"/>
      <c r="H542" s="17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</row>
    <row r="543" spans="1:19" s="27" customFormat="1" ht="78.75" hidden="1" x14ac:dyDescent="0.2">
      <c r="A543" s="18"/>
      <c r="B543" s="7" t="s">
        <v>524</v>
      </c>
      <c r="C543" s="20" t="s">
        <v>268</v>
      </c>
      <c r="D543" s="21" t="s">
        <v>129</v>
      </c>
      <c r="E543" s="20" t="s">
        <v>16</v>
      </c>
      <c r="F543" s="22">
        <v>486</v>
      </c>
      <c r="G543" s="40">
        <v>29850.624</v>
      </c>
      <c r="H543" s="24">
        <f>ROUND(F543*G543,0)</f>
        <v>14507403</v>
      </c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</row>
    <row r="544" spans="1:19" s="27" customFormat="1" ht="78.75" hidden="1" x14ac:dyDescent="0.2">
      <c r="A544" s="18"/>
      <c r="B544" s="7" t="s">
        <v>524</v>
      </c>
      <c r="C544" s="20" t="s">
        <v>270</v>
      </c>
      <c r="D544" s="21" t="s">
        <v>119</v>
      </c>
      <c r="E544" s="20" t="s">
        <v>16</v>
      </c>
      <c r="F544" s="22">
        <v>875.21</v>
      </c>
      <c r="G544" s="40">
        <v>58818.659999999996</v>
      </c>
      <c r="H544" s="24">
        <f>ROUND(F544*G544,0)</f>
        <v>51478679</v>
      </c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</row>
    <row r="545" spans="1:19" s="27" customFormat="1" ht="78.75" hidden="1" x14ac:dyDescent="0.2">
      <c r="A545" s="18"/>
      <c r="B545" s="7" t="s">
        <v>524</v>
      </c>
      <c r="C545" s="20" t="s">
        <v>543</v>
      </c>
      <c r="D545" s="21" t="s">
        <v>544</v>
      </c>
      <c r="E545" s="20" t="s">
        <v>16</v>
      </c>
      <c r="F545" s="22">
        <v>650</v>
      </c>
      <c r="G545" s="40">
        <v>89342.364000000001</v>
      </c>
      <c r="H545" s="24">
        <f>ROUND(F545*G545,0)</f>
        <v>58072537</v>
      </c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</row>
    <row r="546" spans="1:19" s="30" customFormat="1" ht="78.75" hidden="1" x14ac:dyDescent="0.2">
      <c r="A546" s="28"/>
      <c r="B546" s="7" t="s">
        <v>524</v>
      </c>
      <c r="C546" s="13">
        <v>2.6</v>
      </c>
      <c r="D546" s="12" t="s">
        <v>545</v>
      </c>
      <c r="E546" s="39" t="s">
        <v>546</v>
      </c>
      <c r="F546" s="16"/>
      <c r="G546" s="16"/>
      <c r="H546" s="17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</row>
    <row r="547" spans="1:19" s="27" customFormat="1" ht="78.75" hidden="1" x14ac:dyDescent="0.2">
      <c r="A547" s="18"/>
      <c r="B547" s="7" t="s">
        <v>524</v>
      </c>
      <c r="C547" s="20" t="s">
        <v>547</v>
      </c>
      <c r="D547" s="21" t="s">
        <v>97</v>
      </c>
      <c r="E547" s="20" t="s">
        <v>16</v>
      </c>
      <c r="F547" s="22">
        <v>190</v>
      </c>
      <c r="G547" s="40">
        <v>95539.44</v>
      </c>
      <c r="H547" s="24">
        <f>ROUND(F547*G547,0)</f>
        <v>18152494</v>
      </c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</row>
    <row r="548" spans="1:19" s="27" customFormat="1" ht="78.75" hidden="1" x14ac:dyDescent="0.2">
      <c r="A548" s="18"/>
      <c r="B548" s="7" t="s">
        <v>524</v>
      </c>
      <c r="C548" s="20" t="s">
        <v>548</v>
      </c>
      <c r="D548" s="21" t="s">
        <v>99</v>
      </c>
      <c r="E548" s="20" t="s">
        <v>16</v>
      </c>
      <c r="F548" s="22">
        <v>200</v>
      </c>
      <c r="G548" s="40">
        <v>6163.8959999999997</v>
      </c>
      <c r="H548" s="24">
        <f>ROUND(F548*G548,0)</f>
        <v>1232779</v>
      </c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</row>
    <row r="549" spans="1:19" s="27" customFormat="1" ht="78.75" hidden="1" x14ac:dyDescent="0.2">
      <c r="A549" s="18"/>
      <c r="B549" s="7" t="s">
        <v>524</v>
      </c>
      <c r="C549" s="20" t="s">
        <v>549</v>
      </c>
      <c r="D549" s="21" t="s">
        <v>103</v>
      </c>
      <c r="E549" s="20" t="s">
        <v>16</v>
      </c>
      <c r="F549" s="22">
        <v>801.36</v>
      </c>
      <c r="G549" s="40">
        <v>4505.8440000000001</v>
      </c>
      <c r="H549" s="24">
        <f>ROUND(F549*G549,0)</f>
        <v>3610803</v>
      </c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</row>
    <row r="550" spans="1:19" s="27" customFormat="1" ht="78.75" hidden="1" x14ac:dyDescent="0.2">
      <c r="A550" s="18"/>
      <c r="B550" s="7" t="s">
        <v>524</v>
      </c>
      <c r="C550" s="20" t="s">
        <v>550</v>
      </c>
      <c r="D550" s="21" t="s">
        <v>551</v>
      </c>
      <c r="E550" s="20" t="s">
        <v>19</v>
      </c>
      <c r="F550" s="22">
        <v>30</v>
      </c>
      <c r="G550" s="40">
        <v>206163.45599999998</v>
      </c>
      <c r="H550" s="24">
        <f>ROUND(F550*G550,0)</f>
        <v>6184904</v>
      </c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</row>
    <row r="551" spans="1:19" s="27" customFormat="1" ht="78.75" hidden="1" x14ac:dyDescent="0.2">
      <c r="A551" s="18"/>
      <c r="B551" s="7" t="s">
        <v>524</v>
      </c>
      <c r="C551" s="20" t="s">
        <v>552</v>
      </c>
      <c r="D551" s="21" t="s">
        <v>553</v>
      </c>
      <c r="E551" s="20" t="s">
        <v>19</v>
      </c>
      <c r="F551" s="22">
        <v>10</v>
      </c>
      <c r="G551" s="40">
        <v>204175.5</v>
      </c>
      <c r="H551" s="24">
        <f>ROUND(F551*G551,0)</f>
        <v>2041755</v>
      </c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</row>
    <row r="552" spans="1:19" s="27" customFormat="1" ht="78.75" hidden="1" x14ac:dyDescent="0.2">
      <c r="A552" s="18"/>
      <c r="B552" s="7" t="s">
        <v>524</v>
      </c>
      <c r="C552" s="20" t="s">
        <v>554</v>
      </c>
      <c r="D552" s="21" t="s">
        <v>555</v>
      </c>
      <c r="E552" s="20" t="s">
        <v>19</v>
      </c>
      <c r="F552" s="22">
        <v>5</v>
      </c>
      <c r="G552" s="40">
        <v>270604.70399999997</v>
      </c>
      <c r="H552" s="24">
        <f>ROUND(F552*G552,0)</f>
        <v>1353024</v>
      </c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</row>
    <row r="553" spans="1:19" s="27" customFormat="1" ht="78.75" hidden="1" x14ac:dyDescent="0.2">
      <c r="A553" s="18"/>
      <c r="B553" s="7" t="s">
        <v>524</v>
      </c>
      <c r="C553" s="20" t="s">
        <v>556</v>
      </c>
      <c r="D553" s="21" t="s">
        <v>557</v>
      </c>
      <c r="E553" s="20" t="s">
        <v>19</v>
      </c>
      <c r="F553" s="22">
        <v>20</v>
      </c>
      <c r="G553" s="40">
        <v>203787.76799999998</v>
      </c>
      <c r="H553" s="24">
        <f>ROUND(F553*G553,0)</f>
        <v>4075755</v>
      </c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</row>
    <row r="554" spans="1:19" s="27" customFormat="1" ht="78.75" hidden="1" x14ac:dyDescent="0.2">
      <c r="A554" s="18"/>
      <c r="B554" s="7" t="s">
        <v>524</v>
      </c>
      <c r="C554" s="20" t="s">
        <v>558</v>
      </c>
      <c r="D554" s="21" t="s">
        <v>559</v>
      </c>
      <c r="E554" s="20" t="s">
        <v>19</v>
      </c>
      <c r="F554" s="22">
        <v>6</v>
      </c>
      <c r="G554" s="40">
        <v>150430.53599999999</v>
      </c>
      <c r="H554" s="24">
        <f>ROUND(F554*G554,0)</f>
        <v>902583</v>
      </c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</row>
    <row r="555" spans="1:19" s="27" customFormat="1" ht="78.75" hidden="1" x14ac:dyDescent="0.2">
      <c r="A555" s="18"/>
      <c r="B555" s="7" t="s">
        <v>524</v>
      </c>
      <c r="C555" s="20" t="s">
        <v>560</v>
      </c>
      <c r="D555" s="21" t="s">
        <v>561</v>
      </c>
      <c r="E555" s="20" t="s">
        <v>16</v>
      </c>
      <c r="F555" s="22">
        <v>150</v>
      </c>
      <c r="G555" s="40">
        <v>32812.175999999999</v>
      </c>
      <c r="H555" s="24">
        <f>ROUND(F555*G555,0)</f>
        <v>4921826</v>
      </c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</row>
    <row r="556" spans="1:19" s="30" customFormat="1" ht="78.75" hidden="1" x14ac:dyDescent="0.2">
      <c r="A556" s="28"/>
      <c r="B556" s="7" t="s">
        <v>524</v>
      </c>
      <c r="C556" s="13">
        <v>2.7</v>
      </c>
      <c r="D556" s="12" t="s">
        <v>104</v>
      </c>
      <c r="E556" s="15"/>
      <c r="F556" s="16"/>
      <c r="G556" s="16"/>
      <c r="H556" s="17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</row>
    <row r="557" spans="1:19" s="27" customFormat="1" ht="78.75" hidden="1" x14ac:dyDescent="0.2">
      <c r="A557" s="18"/>
      <c r="B557" s="7" t="s">
        <v>524</v>
      </c>
      <c r="C557" s="20" t="s">
        <v>562</v>
      </c>
      <c r="D557" s="21" t="s">
        <v>563</v>
      </c>
      <c r="E557" s="20" t="s">
        <v>19</v>
      </c>
      <c r="F557" s="22">
        <v>20</v>
      </c>
      <c r="G557" s="40">
        <v>12835856.01</v>
      </c>
      <c r="H557" s="24">
        <f>ROUND(F557*G557,0)</f>
        <v>256717120</v>
      </c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</row>
    <row r="558" spans="1:19" s="30" customFormat="1" ht="78.75" hidden="1" x14ac:dyDescent="0.2">
      <c r="A558" s="28"/>
      <c r="B558" s="7" t="s">
        <v>524</v>
      </c>
      <c r="C558" s="13">
        <v>2.8</v>
      </c>
      <c r="D558" s="12" t="s">
        <v>564</v>
      </c>
      <c r="E558" s="15"/>
      <c r="F558" s="16"/>
      <c r="G558" s="16"/>
      <c r="H558" s="17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</row>
    <row r="559" spans="1:19" s="27" customFormat="1" ht="78.75" hidden="1" x14ac:dyDescent="0.2">
      <c r="A559" s="18"/>
      <c r="B559" s="7" t="s">
        <v>524</v>
      </c>
      <c r="C559" s="20" t="s">
        <v>565</v>
      </c>
      <c r="D559" s="21" t="s">
        <v>566</v>
      </c>
      <c r="E559" s="20" t="s">
        <v>19</v>
      </c>
      <c r="F559" s="22">
        <v>4</v>
      </c>
      <c r="G559" s="40">
        <v>62015846.879999995</v>
      </c>
      <c r="H559" s="24">
        <f>ROUND(F559*G559,0)</f>
        <v>248063388</v>
      </c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</row>
    <row r="560" spans="1:19" s="30" customFormat="1" ht="78.75" hidden="1" x14ac:dyDescent="0.2">
      <c r="A560" s="28"/>
      <c r="B560" s="7" t="s">
        <v>524</v>
      </c>
      <c r="C560" s="13">
        <v>2.9</v>
      </c>
      <c r="D560" s="12" t="s">
        <v>109</v>
      </c>
      <c r="E560" s="15"/>
      <c r="F560" s="16"/>
      <c r="G560" s="16"/>
      <c r="H560" s="17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</row>
    <row r="561" spans="1:19" s="27" customFormat="1" ht="78.75" hidden="1" x14ac:dyDescent="0.2">
      <c r="A561" s="18"/>
      <c r="B561" s="7" t="s">
        <v>524</v>
      </c>
      <c r="C561" s="20" t="s">
        <v>567</v>
      </c>
      <c r="D561" s="21" t="s">
        <v>22</v>
      </c>
      <c r="E561" s="20" t="s">
        <v>23</v>
      </c>
      <c r="F561" s="22">
        <v>113.68</v>
      </c>
      <c r="G561" s="40">
        <v>27462.611999999997</v>
      </c>
      <c r="H561" s="24">
        <f>ROUND(F561*G561,0)</f>
        <v>3121950</v>
      </c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</row>
    <row r="562" spans="1:19" s="27" customFormat="1" ht="78.75" hidden="1" x14ac:dyDescent="0.2">
      <c r="A562" s="18"/>
      <c r="B562" s="7" t="s">
        <v>524</v>
      </c>
      <c r="C562" s="20" t="s">
        <v>568</v>
      </c>
      <c r="D562" s="21" t="s">
        <v>114</v>
      </c>
      <c r="E562" s="20" t="s">
        <v>19</v>
      </c>
      <c r="F562" s="22">
        <v>13</v>
      </c>
      <c r="G562" s="40">
        <v>559470.73199999996</v>
      </c>
      <c r="H562" s="24">
        <f>ROUND(F562*G562,0)</f>
        <v>7273120</v>
      </c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</row>
    <row r="563" spans="1:19" s="27" customFormat="1" ht="78.75" hidden="1" x14ac:dyDescent="0.2">
      <c r="A563" s="18"/>
      <c r="B563" s="7" t="s">
        <v>524</v>
      </c>
      <c r="C563" s="20" t="s">
        <v>569</v>
      </c>
      <c r="D563" s="21" t="s">
        <v>116</v>
      </c>
      <c r="E563" s="20" t="s">
        <v>19</v>
      </c>
      <c r="F563" s="22">
        <v>13</v>
      </c>
      <c r="G563" s="40">
        <v>267625.14</v>
      </c>
      <c r="H563" s="24">
        <f>ROUND(F563*G563,0)</f>
        <v>3479127</v>
      </c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</row>
    <row r="564" spans="1:19" s="30" customFormat="1" ht="78.75" hidden="1" x14ac:dyDescent="0.2">
      <c r="A564" s="28"/>
      <c r="B564" s="7" t="s">
        <v>524</v>
      </c>
      <c r="C564" s="51">
        <v>2.1</v>
      </c>
      <c r="D564" s="12" t="s">
        <v>117</v>
      </c>
      <c r="E564" s="39" t="s">
        <v>546</v>
      </c>
      <c r="F564" s="16"/>
      <c r="G564" s="16"/>
      <c r="H564" s="17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</row>
    <row r="565" spans="1:19" s="27" customFormat="1" ht="78.75" hidden="1" x14ac:dyDescent="0.2">
      <c r="A565" s="18"/>
      <c r="B565" s="7" t="s">
        <v>524</v>
      </c>
      <c r="C565" s="20" t="s">
        <v>570</v>
      </c>
      <c r="D565" s="21" t="s">
        <v>121</v>
      </c>
      <c r="E565" s="20" t="s">
        <v>19</v>
      </c>
      <c r="F565" s="22">
        <v>26</v>
      </c>
      <c r="G565" s="40">
        <v>396845.12399999995</v>
      </c>
      <c r="H565" s="24">
        <f>ROUND(F565*G565,0)</f>
        <v>10317973</v>
      </c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</row>
    <row r="566" spans="1:19" s="27" customFormat="1" ht="78.75" hidden="1" x14ac:dyDescent="0.2">
      <c r="A566" s="18"/>
      <c r="B566" s="7" t="s">
        <v>524</v>
      </c>
      <c r="C566" s="20" t="s">
        <v>571</v>
      </c>
      <c r="D566" s="21" t="s">
        <v>123</v>
      </c>
      <c r="E566" s="20" t="s">
        <v>19</v>
      </c>
      <c r="F566" s="22">
        <v>60</v>
      </c>
      <c r="G566" s="40">
        <v>103692.23999999999</v>
      </c>
      <c r="H566" s="24">
        <f>ROUND(F566*G566,0)</f>
        <v>6221534</v>
      </c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</row>
    <row r="567" spans="1:19" s="27" customFormat="1" ht="78.75" hidden="1" x14ac:dyDescent="0.2">
      <c r="A567" s="18"/>
      <c r="B567" s="7" t="s">
        <v>524</v>
      </c>
      <c r="C567" s="20" t="s">
        <v>572</v>
      </c>
      <c r="D567" s="21" t="s">
        <v>125</v>
      </c>
      <c r="E567" s="20" t="s">
        <v>16</v>
      </c>
      <c r="F567" s="22">
        <v>150</v>
      </c>
      <c r="G567" s="40">
        <v>29047.667999999998</v>
      </c>
      <c r="H567" s="24">
        <f>ROUND(F567*G567,0)</f>
        <v>4357150</v>
      </c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</row>
    <row r="568" spans="1:19" s="27" customFormat="1" ht="78.75" hidden="1" x14ac:dyDescent="0.2">
      <c r="A568" s="18"/>
      <c r="B568" s="7" t="s">
        <v>524</v>
      </c>
      <c r="C568" s="20" t="s">
        <v>573</v>
      </c>
      <c r="D568" s="21" t="s">
        <v>127</v>
      </c>
      <c r="E568" s="20" t="s">
        <v>19</v>
      </c>
      <c r="F568" s="22">
        <v>300</v>
      </c>
      <c r="G568" s="40">
        <v>13003.715999999999</v>
      </c>
      <c r="H568" s="24">
        <f>ROUND(F568*G568,0)</f>
        <v>3901115</v>
      </c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</row>
    <row r="569" spans="1:19" s="27" customFormat="1" ht="78.75" hidden="1" x14ac:dyDescent="0.2">
      <c r="A569" s="18"/>
      <c r="B569" s="7" t="s">
        <v>524</v>
      </c>
      <c r="C569" s="20" t="s">
        <v>574</v>
      </c>
      <c r="D569" s="21" t="s">
        <v>131</v>
      </c>
      <c r="E569" s="20" t="s">
        <v>19</v>
      </c>
      <c r="F569" s="22">
        <v>10</v>
      </c>
      <c r="G569" s="40">
        <v>109558.46399999999</v>
      </c>
      <c r="H569" s="24">
        <f>ROUND(F569*G569,0)</f>
        <v>1095585</v>
      </c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</row>
    <row r="570" spans="1:19" s="27" customFormat="1" ht="78.75" hidden="1" x14ac:dyDescent="0.2">
      <c r="A570" s="18"/>
      <c r="B570" s="7" t="s">
        <v>524</v>
      </c>
      <c r="C570" s="20" t="s">
        <v>575</v>
      </c>
      <c r="D570" s="21" t="s">
        <v>133</v>
      </c>
      <c r="E570" s="20" t="s">
        <v>19</v>
      </c>
      <c r="F570" s="22">
        <v>10</v>
      </c>
      <c r="G570" s="40">
        <v>358164.67632000003</v>
      </c>
      <c r="H570" s="24">
        <f>ROUND(F570*G570,0)</f>
        <v>3581647</v>
      </c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</row>
    <row r="571" spans="1:19" s="27" customFormat="1" ht="78.75" hidden="1" x14ac:dyDescent="0.2">
      <c r="A571" s="18"/>
      <c r="B571" s="7" t="s">
        <v>524</v>
      </c>
      <c r="C571" s="20" t="s">
        <v>576</v>
      </c>
      <c r="D571" s="21" t="s">
        <v>135</v>
      </c>
      <c r="E571" s="20" t="s">
        <v>19</v>
      </c>
      <c r="F571" s="22">
        <v>8</v>
      </c>
      <c r="G571" s="40">
        <v>286863.85200000001</v>
      </c>
      <c r="H571" s="24">
        <f>ROUND(F571*G571,0)</f>
        <v>2294911</v>
      </c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</row>
    <row r="572" spans="1:19" s="27" customFormat="1" ht="78.75" hidden="1" x14ac:dyDescent="0.2">
      <c r="A572" s="18"/>
      <c r="B572" s="7" t="s">
        <v>524</v>
      </c>
      <c r="C572" s="20" t="s">
        <v>577</v>
      </c>
      <c r="D572" s="21" t="s">
        <v>137</v>
      </c>
      <c r="E572" s="20" t="s">
        <v>19</v>
      </c>
      <c r="F572" s="22">
        <v>4</v>
      </c>
      <c r="G572" s="40">
        <v>296613.08399999997</v>
      </c>
      <c r="H572" s="24">
        <f>ROUND(F572*G572,0)</f>
        <v>1186452</v>
      </c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</row>
    <row r="573" spans="1:19" s="30" customFormat="1" ht="78.75" hidden="1" x14ac:dyDescent="0.2">
      <c r="A573" s="28"/>
      <c r="B573" s="7" t="s">
        <v>524</v>
      </c>
      <c r="C573" s="11">
        <v>3</v>
      </c>
      <c r="D573" s="12" t="s">
        <v>138</v>
      </c>
      <c r="E573" s="31"/>
      <c r="F573" s="31"/>
      <c r="G573" s="31"/>
      <c r="H573" s="31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</row>
    <row r="574" spans="1:19" s="27" customFormat="1" ht="78.75" hidden="1" x14ac:dyDescent="0.2">
      <c r="A574" s="18"/>
      <c r="B574" s="7" t="s">
        <v>524</v>
      </c>
      <c r="C574" s="32">
        <v>3.1</v>
      </c>
      <c r="D574" s="21" t="s">
        <v>138</v>
      </c>
      <c r="E574" s="20" t="s">
        <v>139</v>
      </c>
      <c r="F574" s="34">
        <v>0.02</v>
      </c>
      <c r="G574" s="40">
        <v>910823530.62</v>
      </c>
      <c r="H574" s="24">
        <f>ROUND(F574*G574,0)</f>
        <v>18216471</v>
      </c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</row>
    <row r="575" spans="1:19" s="27" customFormat="1" ht="47.25" hidden="1" x14ac:dyDescent="0.2">
      <c r="A575" s="18"/>
      <c r="B575" s="7" t="s">
        <v>8</v>
      </c>
      <c r="C575" s="32" t="s">
        <v>590</v>
      </c>
      <c r="D575" s="59" t="s">
        <v>578</v>
      </c>
      <c r="E575" s="20" t="s">
        <v>19</v>
      </c>
      <c r="F575" s="60">
        <v>1</v>
      </c>
      <c r="G575" s="61">
        <v>24723760</v>
      </c>
      <c r="H575" s="24">
        <f t="shared" ref="H575:H587" si="0">ROUND(F575*G575,0)</f>
        <v>24723760</v>
      </c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</row>
    <row r="576" spans="1:19" s="27" customFormat="1" ht="78.75" hidden="1" x14ac:dyDescent="0.2">
      <c r="A576" s="18"/>
      <c r="B576" s="7" t="s">
        <v>140</v>
      </c>
      <c r="C576" s="32" t="s">
        <v>590</v>
      </c>
      <c r="D576" s="59" t="s">
        <v>579</v>
      </c>
      <c r="E576" s="20" t="s">
        <v>19</v>
      </c>
      <c r="F576" s="60">
        <v>1</v>
      </c>
      <c r="G576" s="61">
        <v>9889504</v>
      </c>
      <c r="H576" s="24">
        <f t="shared" si="0"/>
        <v>9889504</v>
      </c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</row>
    <row r="577" spans="1:19" s="38" customFormat="1" ht="47.25" hidden="1" x14ac:dyDescent="0.2">
      <c r="A577" s="25"/>
      <c r="B577" s="7" t="s">
        <v>203</v>
      </c>
      <c r="C577" s="32" t="s">
        <v>590</v>
      </c>
      <c r="D577" s="59" t="s">
        <v>580</v>
      </c>
      <c r="E577" s="20" t="s">
        <v>19</v>
      </c>
      <c r="F577" s="60">
        <v>1</v>
      </c>
      <c r="G577" s="61">
        <v>15000000</v>
      </c>
      <c r="H577" s="24">
        <f t="shared" si="0"/>
        <v>15000000</v>
      </c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</row>
    <row r="578" spans="1:19" s="38" customFormat="1" ht="47.25" hidden="1" x14ac:dyDescent="0.2">
      <c r="A578" s="25"/>
      <c r="B578" s="7" t="s">
        <v>203</v>
      </c>
      <c r="C578" s="32" t="s">
        <v>590</v>
      </c>
      <c r="D578" s="59" t="s">
        <v>581</v>
      </c>
      <c r="E578" s="20" t="s">
        <v>19</v>
      </c>
      <c r="F578" s="60">
        <v>1</v>
      </c>
      <c r="G578" s="61">
        <v>198610</v>
      </c>
      <c r="H578" s="24">
        <f t="shared" si="0"/>
        <v>198610</v>
      </c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</row>
    <row r="579" spans="1:19" s="46" customFormat="1" ht="126" hidden="1" x14ac:dyDescent="0.2">
      <c r="A579" s="44"/>
      <c r="B579" s="7" t="s">
        <v>363</v>
      </c>
      <c r="C579" s="32" t="s">
        <v>590</v>
      </c>
      <c r="D579" s="63" t="s">
        <v>582</v>
      </c>
      <c r="E579" s="20" t="s">
        <v>19</v>
      </c>
      <c r="F579" s="60">
        <v>1</v>
      </c>
      <c r="G579" s="61">
        <v>15000000</v>
      </c>
      <c r="H579" s="24">
        <f t="shared" si="0"/>
        <v>15000000</v>
      </c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</row>
    <row r="580" spans="1:19" s="46" customFormat="1" ht="126" hidden="1" x14ac:dyDescent="0.2">
      <c r="A580" s="44"/>
      <c r="B580" s="7" t="s">
        <v>363</v>
      </c>
      <c r="C580" s="32" t="s">
        <v>590</v>
      </c>
      <c r="D580" s="63" t="s">
        <v>583</v>
      </c>
      <c r="E580" s="20" t="s">
        <v>19</v>
      </c>
      <c r="F580" s="60">
        <v>1</v>
      </c>
      <c r="G580" s="61">
        <v>198610</v>
      </c>
      <c r="H580" s="24">
        <f t="shared" si="0"/>
        <v>198610</v>
      </c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</row>
    <row r="581" spans="1:19" s="46" customFormat="1" ht="126" hidden="1" x14ac:dyDescent="0.2">
      <c r="A581" s="44"/>
      <c r="B581" s="7" t="s">
        <v>363</v>
      </c>
      <c r="C581" s="32" t="s">
        <v>590</v>
      </c>
      <c r="D581" s="63" t="s">
        <v>584</v>
      </c>
      <c r="E581" s="20" t="s">
        <v>19</v>
      </c>
      <c r="F581" s="60">
        <v>1</v>
      </c>
      <c r="G581" s="61">
        <v>2500006</v>
      </c>
      <c r="H581" s="24">
        <f t="shared" si="0"/>
        <v>2500006</v>
      </c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</row>
    <row r="582" spans="1:19" s="46" customFormat="1" ht="126" hidden="1" x14ac:dyDescent="0.2">
      <c r="A582" s="44"/>
      <c r="B582" s="7" t="s">
        <v>363</v>
      </c>
      <c r="C582" s="32" t="s">
        <v>590</v>
      </c>
      <c r="D582" s="63" t="s">
        <v>585</v>
      </c>
      <c r="E582" s="20" t="s">
        <v>19</v>
      </c>
      <c r="F582" s="60">
        <v>1</v>
      </c>
      <c r="G582" s="61">
        <v>1464054</v>
      </c>
      <c r="H582" s="24">
        <f t="shared" si="0"/>
        <v>1464054</v>
      </c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</row>
    <row r="583" spans="1:19" s="46" customFormat="1" ht="126" hidden="1" x14ac:dyDescent="0.2">
      <c r="A583" s="44"/>
      <c r="B583" s="7" t="s">
        <v>363</v>
      </c>
      <c r="C583" s="32" t="s">
        <v>590</v>
      </c>
      <c r="D583" s="63" t="s">
        <v>586</v>
      </c>
      <c r="E583" s="20" t="s">
        <v>19</v>
      </c>
      <c r="F583" s="60">
        <v>1</v>
      </c>
      <c r="G583" s="61">
        <v>2440091</v>
      </c>
      <c r="H583" s="24">
        <f t="shared" si="0"/>
        <v>2440091</v>
      </c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</row>
    <row r="584" spans="1:19" s="27" customFormat="1" ht="31.5" x14ac:dyDescent="0.2">
      <c r="A584" s="18"/>
      <c r="B584" s="19" t="s">
        <v>494</v>
      </c>
      <c r="C584" s="32" t="s">
        <v>590</v>
      </c>
      <c r="D584" s="59" t="s">
        <v>587</v>
      </c>
      <c r="E584" s="20" t="s">
        <v>19</v>
      </c>
      <c r="F584" s="60">
        <v>1</v>
      </c>
      <c r="G584" s="61">
        <v>2500004</v>
      </c>
      <c r="H584" s="24">
        <f t="shared" si="0"/>
        <v>2500004</v>
      </c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</row>
    <row r="585" spans="1:19" s="27" customFormat="1" ht="31.5" x14ac:dyDescent="0.2">
      <c r="A585" s="18"/>
      <c r="B585" s="19" t="s">
        <v>494</v>
      </c>
      <c r="C585" s="32" t="s">
        <v>590</v>
      </c>
      <c r="D585" s="59" t="s">
        <v>585</v>
      </c>
      <c r="E585" s="20" t="s">
        <v>19</v>
      </c>
      <c r="F585" s="60">
        <v>1</v>
      </c>
      <c r="G585" s="61">
        <v>6000000</v>
      </c>
      <c r="H585" s="24">
        <f t="shared" si="0"/>
        <v>6000000</v>
      </c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</row>
    <row r="586" spans="1:19" s="27" customFormat="1" ht="31.5" x14ac:dyDescent="0.2">
      <c r="A586" s="18"/>
      <c r="B586" s="19" t="s">
        <v>494</v>
      </c>
      <c r="C586" s="32" t="s">
        <v>590</v>
      </c>
      <c r="D586" s="59" t="s">
        <v>586</v>
      </c>
      <c r="E586" s="20" t="s">
        <v>19</v>
      </c>
      <c r="F586" s="60">
        <v>1</v>
      </c>
      <c r="G586" s="61">
        <v>12728846</v>
      </c>
      <c r="H586" s="24">
        <f t="shared" si="0"/>
        <v>12728846</v>
      </c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</row>
    <row r="587" spans="1:19" s="27" customFormat="1" ht="47.25" hidden="1" x14ac:dyDescent="0.2">
      <c r="A587" s="18"/>
      <c r="B587" s="7" t="s">
        <v>8</v>
      </c>
      <c r="C587" s="32" t="s">
        <v>590</v>
      </c>
      <c r="D587" s="59" t="s">
        <v>588</v>
      </c>
      <c r="E587" s="20" t="s">
        <v>19</v>
      </c>
      <c r="F587" s="60">
        <v>1</v>
      </c>
      <c r="G587" s="61">
        <v>29367030</v>
      </c>
      <c r="H587" s="24">
        <f t="shared" si="0"/>
        <v>29367030</v>
      </c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</row>
    <row r="588" spans="1:19" s="71" customFormat="1" ht="15.75" hidden="1" x14ac:dyDescent="0.25">
      <c r="A588" s="65"/>
      <c r="B588" s="52"/>
      <c r="C588" s="52"/>
      <c r="D588" s="66"/>
      <c r="E588" s="67"/>
      <c r="F588" s="67"/>
      <c r="G588" s="68"/>
      <c r="H588" s="69">
        <f t="array" ref="H588">SUM(H575:H587)</f>
        <v>122010515</v>
      </c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</row>
    <row r="589" spans="1:19" s="27" customFormat="1" ht="15" x14ac:dyDescent="0.2">
      <c r="A589" s="18"/>
      <c r="B589" s="52"/>
      <c r="C589" s="52"/>
      <c r="D589" s="37"/>
      <c r="E589" s="37"/>
      <c r="F589" s="72"/>
      <c r="G589" s="73"/>
      <c r="H589" s="53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</row>
    <row r="590" spans="1:19" s="27" customFormat="1" ht="15" x14ac:dyDescent="0.2">
      <c r="A590" s="18"/>
      <c r="B590" s="52"/>
      <c r="C590" s="52"/>
      <c r="D590" s="37"/>
      <c r="E590" s="37"/>
      <c r="F590" s="72"/>
      <c r="G590" s="73"/>
      <c r="H590" s="7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</row>
    <row r="591" spans="1:19" s="71" customFormat="1" ht="15.75" x14ac:dyDescent="0.25">
      <c r="A591" s="65"/>
      <c r="B591" s="37"/>
      <c r="C591" s="52"/>
      <c r="D591" s="55" t="s">
        <v>589</v>
      </c>
      <c r="E591" s="56"/>
      <c r="F591" s="57"/>
      <c r="G591" s="58"/>
      <c r="H591" s="75" t="e">
        <f t="array" ref="H591">#REF!+H588</f>
        <v>#REF!</v>
      </c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</row>
    <row r="592" spans="1:19" s="27" customFormat="1" ht="15" x14ac:dyDescent="0.2">
      <c r="A592" s="18"/>
      <c r="B592" s="52"/>
      <c r="C592" s="52"/>
      <c r="D592" s="37"/>
      <c r="E592" s="37"/>
      <c r="F592" s="72"/>
      <c r="G592" s="73"/>
      <c r="H592" s="74">
        <v>7512867939</v>
      </c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</row>
    <row r="593" spans="1:19" s="71" customFormat="1" ht="15" x14ac:dyDescent="0.25">
      <c r="A593" s="76"/>
      <c r="B593" s="77"/>
      <c r="C593" s="77"/>
      <c r="D593" s="77"/>
      <c r="E593" s="77"/>
      <c r="F593" s="77"/>
      <c r="G593" s="77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</row>
    <row r="594" spans="1:19" s="71" customFormat="1" ht="15" x14ac:dyDescent="0.25">
      <c r="A594" s="76"/>
      <c r="B594" s="77"/>
      <c r="C594" s="77"/>
      <c r="D594" s="77"/>
      <c r="E594" s="77"/>
      <c r="F594" s="77"/>
      <c r="G594" s="77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</row>
    <row r="595" spans="1:19" s="71" customFormat="1" ht="15" x14ac:dyDescent="0.25">
      <c r="A595" s="76"/>
      <c r="B595" s="77"/>
      <c r="C595" s="77"/>
      <c r="D595" s="77"/>
      <c r="E595" s="77"/>
      <c r="F595" s="77"/>
      <c r="G595" s="77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</row>
    <row r="596" spans="1:19" s="71" customFormat="1" ht="15" x14ac:dyDescent="0.25">
      <c r="A596" s="76"/>
      <c r="B596" s="77"/>
      <c r="C596" s="77"/>
      <c r="D596" s="77"/>
      <c r="E596" s="77"/>
      <c r="F596" s="77"/>
      <c r="G596" s="77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</row>
    <row r="597" spans="1:19" s="71" customFormat="1" ht="15" x14ac:dyDescent="0.25">
      <c r="A597" s="76"/>
      <c r="B597" s="77"/>
      <c r="C597" s="77"/>
      <c r="D597" s="77"/>
      <c r="E597" s="77"/>
      <c r="F597" s="77"/>
      <c r="G597" s="77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</row>
    <row r="598" spans="1:19" s="71" customFormat="1" ht="15" x14ac:dyDescent="0.25">
      <c r="A598" s="76"/>
      <c r="B598" s="77"/>
      <c r="C598" s="77"/>
      <c r="D598" s="77"/>
      <c r="E598" s="77"/>
      <c r="F598" s="77"/>
      <c r="G598" s="77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</row>
    <row r="599" spans="1:19" s="71" customFormat="1" ht="15" x14ac:dyDescent="0.25">
      <c r="A599" s="76"/>
      <c r="B599" s="77"/>
      <c r="C599" s="77"/>
      <c r="D599" s="77"/>
      <c r="E599" s="77"/>
      <c r="F599" s="77"/>
      <c r="G599" s="77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</row>
    <row r="600" spans="1:19" s="71" customFormat="1" ht="15" x14ac:dyDescent="0.25">
      <c r="A600" s="76"/>
      <c r="B600" s="77"/>
      <c r="C600" s="77"/>
      <c r="D600" s="77"/>
      <c r="E600" s="77"/>
      <c r="F600" s="77"/>
      <c r="G600" s="77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</row>
    <row r="601" spans="1:19" s="71" customFormat="1" ht="15" x14ac:dyDescent="0.25">
      <c r="A601" s="76"/>
      <c r="B601" s="77"/>
      <c r="C601" s="77"/>
      <c r="D601" s="77"/>
      <c r="E601" s="77"/>
      <c r="F601" s="77"/>
      <c r="G601" s="77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</row>
    <row r="602" spans="1:19" s="71" customFormat="1" ht="15" x14ac:dyDescent="0.25">
      <c r="A602" s="76"/>
      <c r="B602" s="77"/>
      <c r="C602" s="77"/>
      <c r="D602" s="77"/>
      <c r="E602" s="77"/>
      <c r="F602" s="77"/>
      <c r="G602" s="77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</row>
    <row r="603" spans="1:19" s="71" customFormat="1" ht="15" x14ac:dyDescent="0.25">
      <c r="A603" s="76"/>
      <c r="B603" s="77"/>
      <c r="C603" s="77"/>
      <c r="D603" s="77"/>
      <c r="E603" s="77"/>
      <c r="F603" s="77"/>
      <c r="G603" s="77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</row>
    <row r="604" spans="1:19" s="71" customFormat="1" ht="15" x14ac:dyDescent="0.25">
      <c r="A604" s="76"/>
      <c r="B604" s="77"/>
      <c r="C604" s="77"/>
      <c r="D604" s="77"/>
      <c r="E604" s="77"/>
      <c r="F604" s="77"/>
      <c r="G604" s="77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</row>
    <row r="605" spans="1:19" s="71" customFormat="1" ht="15" x14ac:dyDescent="0.25">
      <c r="A605" s="76"/>
      <c r="B605" s="77"/>
      <c r="C605" s="77"/>
      <c r="D605" s="77"/>
      <c r="E605" s="77"/>
      <c r="F605" s="77"/>
      <c r="G605" s="77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</row>
    <row r="606" spans="1:19" s="71" customFormat="1" ht="15" x14ac:dyDescent="0.25">
      <c r="A606" s="76"/>
      <c r="B606" s="77"/>
      <c r="C606" s="77"/>
      <c r="D606" s="77"/>
      <c r="E606" s="77"/>
      <c r="F606" s="77"/>
      <c r="G606" s="77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</row>
    <row r="607" spans="1:19" s="71" customFormat="1" ht="15" x14ac:dyDescent="0.25">
      <c r="A607" s="76"/>
      <c r="B607" s="77"/>
      <c r="C607" s="77"/>
      <c r="D607" s="77"/>
      <c r="E607" s="77"/>
      <c r="F607" s="77"/>
      <c r="G607" s="77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</row>
    <row r="608" spans="1:19" s="71" customFormat="1" ht="15" x14ac:dyDescent="0.25">
      <c r="A608" s="76"/>
      <c r="B608" s="77"/>
      <c r="C608" s="77"/>
      <c r="D608" s="77"/>
      <c r="E608" s="77"/>
      <c r="F608" s="77"/>
      <c r="G608" s="77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</row>
    <row r="609" spans="1:19" s="71" customFormat="1" ht="15" x14ac:dyDescent="0.25">
      <c r="A609" s="76"/>
      <c r="B609" s="77"/>
      <c r="C609" s="77"/>
      <c r="D609" s="77"/>
      <c r="E609" s="77"/>
      <c r="F609" s="77"/>
      <c r="G609" s="77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</row>
    <row r="610" spans="1:19" s="71" customFormat="1" ht="15" x14ac:dyDescent="0.25">
      <c r="A610" s="76"/>
      <c r="B610" s="77"/>
      <c r="C610" s="77"/>
      <c r="D610" s="77"/>
      <c r="E610" s="77"/>
      <c r="F610" s="77"/>
      <c r="G610" s="77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</row>
    <row r="611" spans="1:19" s="71" customFormat="1" ht="15" x14ac:dyDescent="0.25">
      <c r="A611" s="76"/>
      <c r="B611" s="77"/>
      <c r="C611" s="77"/>
      <c r="D611" s="77"/>
      <c r="E611" s="77"/>
      <c r="F611" s="77"/>
      <c r="G611" s="77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</row>
    <row r="612" spans="1:19" s="71" customFormat="1" ht="15" x14ac:dyDescent="0.25">
      <c r="A612" s="76"/>
      <c r="B612" s="77"/>
      <c r="C612" s="77"/>
      <c r="D612" s="77"/>
      <c r="E612" s="77"/>
      <c r="F612" s="77"/>
      <c r="G612" s="77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</row>
    <row r="613" spans="1:19" s="71" customFormat="1" ht="15" x14ac:dyDescent="0.25">
      <c r="A613" s="76"/>
      <c r="B613" s="77"/>
      <c r="C613" s="77"/>
      <c r="D613" s="77"/>
      <c r="E613" s="77"/>
      <c r="F613" s="77"/>
      <c r="G613" s="77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</row>
    <row r="614" spans="1:19" s="71" customFormat="1" ht="15" x14ac:dyDescent="0.25">
      <c r="A614" s="76"/>
      <c r="B614" s="77"/>
      <c r="C614" s="77"/>
      <c r="D614" s="77"/>
      <c r="E614" s="77"/>
      <c r="F614" s="77"/>
      <c r="G614" s="77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</row>
    <row r="615" spans="1:19" s="71" customFormat="1" ht="15" x14ac:dyDescent="0.25">
      <c r="A615" s="76"/>
      <c r="B615" s="77"/>
      <c r="C615" s="77"/>
      <c r="D615" s="77"/>
      <c r="E615" s="77"/>
      <c r="F615" s="77"/>
      <c r="G615" s="77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</row>
    <row r="616" spans="1:19" s="71" customFormat="1" ht="15" x14ac:dyDescent="0.25">
      <c r="A616" s="76"/>
      <c r="B616" s="77"/>
      <c r="C616" s="77"/>
      <c r="D616" s="77"/>
      <c r="E616" s="77"/>
      <c r="F616" s="77"/>
      <c r="G616" s="77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</row>
    <row r="617" spans="1:19" s="71" customFormat="1" ht="15" x14ac:dyDescent="0.25">
      <c r="A617" s="76"/>
      <c r="B617" s="77"/>
      <c r="C617" s="77"/>
      <c r="D617" s="77"/>
      <c r="E617" s="77"/>
      <c r="F617" s="77"/>
      <c r="G617" s="77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</row>
    <row r="618" spans="1:19" s="71" customFormat="1" ht="15" x14ac:dyDescent="0.25">
      <c r="A618" s="76"/>
      <c r="B618" s="77"/>
      <c r="C618" s="77"/>
      <c r="D618" s="77"/>
      <c r="E618" s="77"/>
      <c r="F618" s="77"/>
      <c r="G618" s="77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</row>
    <row r="619" spans="1:19" s="71" customFormat="1" ht="15" x14ac:dyDescent="0.25">
      <c r="A619" s="76"/>
      <c r="B619" s="77"/>
      <c r="C619" s="77"/>
      <c r="D619" s="77"/>
      <c r="E619" s="77"/>
      <c r="F619" s="77"/>
      <c r="G619" s="77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</row>
    <row r="620" spans="1:19" s="71" customFormat="1" ht="15" x14ac:dyDescent="0.25">
      <c r="A620" s="76"/>
      <c r="B620" s="77"/>
      <c r="C620" s="77"/>
      <c r="D620" s="77"/>
      <c r="E620" s="77"/>
      <c r="F620" s="77"/>
      <c r="G620" s="77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</row>
    <row r="621" spans="1:19" s="71" customFormat="1" ht="15" x14ac:dyDescent="0.25">
      <c r="A621" s="76"/>
      <c r="B621" s="77"/>
      <c r="C621" s="77"/>
      <c r="D621" s="77"/>
      <c r="E621" s="77"/>
      <c r="F621" s="77"/>
      <c r="G621" s="77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</row>
    <row r="622" spans="1:19" s="71" customFormat="1" ht="15" x14ac:dyDescent="0.25">
      <c r="A622" s="76"/>
      <c r="B622" s="77"/>
      <c r="C622" s="77"/>
      <c r="D622" s="77"/>
      <c r="E622" s="77"/>
      <c r="F622" s="77"/>
      <c r="G622" s="77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</row>
    <row r="623" spans="1:19" s="71" customFormat="1" ht="15" x14ac:dyDescent="0.25">
      <c r="A623" s="76"/>
      <c r="B623" s="77"/>
      <c r="C623" s="77"/>
      <c r="D623" s="77"/>
      <c r="E623" s="77"/>
      <c r="F623" s="77"/>
      <c r="G623" s="77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</row>
    <row r="624" spans="1:19" s="71" customFormat="1" ht="15" x14ac:dyDescent="0.25">
      <c r="A624" s="76"/>
      <c r="B624" s="77"/>
      <c r="C624" s="77"/>
      <c r="D624" s="77"/>
      <c r="E624" s="77"/>
      <c r="F624" s="77"/>
      <c r="G624" s="77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</row>
    <row r="625" spans="1:19" s="71" customFormat="1" ht="15" x14ac:dyDescent="0.25">
      <c r="A625" s="76"/>
      <c r="B625" s="77"/>
      <c r="C625" s="77"/>
      <c r="D625" s="77"/>
      <c r="E625" s="77"/>
      <c r="F625" s="77"/>
      <c r="G625" s="77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</row>
    <row r="626" spans="1:19" s="71" customFormat="1" ht="15" x14ac:dyDescent="0.25">
      <c r="A626" s="76"/>
      <c r="B626" s="77"/>
      <c r="C626" s="77"/>
      <c r="D626" s="77"/>
      <c r="E626" s="77"/>
      <c r="F626" s="77"/>
      <c r="G626" s="77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</row>
    <row r="627" spans="1:19" s="71" customFormat="1" ht="15" x14ac:dyDescent="0.25">
      <c r="A627" s="76"/>
      <c r="B627" s="77"/>
      <c r="C627" s="77"/>
      <c r="D627" s="77"/>
      <c r="E627" s="77"/>
      <c r="F627" s="77"/>
      <c r="G627" s="77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</row>
    <row r="628" spans="1:19" s="71" customFormat="1" ht="15" x14ac:dyDescent="0.25">
      <c r="A628" s="76"/>
      <c r="B628" s="77"/>
      <c r="C628" s="77"/>
      <c r="D628" s="77"/>
      <c r="E628" s="77"/>
      <c r="F628" s="77"/>
      <c r="G628" s="77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</row>
    <row r="629" spans="1:19" s="71" customFormat="1" ht="15" x14ac:dyDescent="0.25">
      <c r="A629" s="76"/>
      <c r="B629" s="77"/>
      <c r="C629" s="77"/>
      <c r="D629" s="77"/>
      <c r="E629" s="77"/>
      <c r="F629" s="77"/>
      <c r="G629" s="77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</row>
    <row r="630" spans="1:19" s="71" customFormat="1" ht="15" x14ac:dyDescent="0.25">
      <c r="A630" s="76"/>
      <c r="B630" s="77"/>
      <c r="C630" s="77"/>
      <c r="D630" s="77"/>
      <c r="E630" s="77"/>
      <c r="F630" s="77"/>
      <c r="G630" s="77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</row>
    <row r="631" spans="1:19" s="71" customFormat="1" ht="15" x14ac:dyDescent="0.25">
      <c r="A631" s="76"/>
      <c r="B631" s="77"/>
      <c r="C631" s="77"/>
      <c r="D631" s="77"/>
      <c r="E631" s="77"/>
      <c r="F631" s="77"/>
      <c r="G631" s="77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</row>
    <row r="632" spans="1:19" s="71" customFormat="1" ht="15" x14ac:dyDescent="0.25">
      <c r="A632" s="76"/>
      <c r="B632" s="77"/>
      <c r="C632" s="77"/>
      <c r="D632" s="77"/>
      <c r="E632" s="77"/>
      <c r="F632" s="77"/>
      <c r="G632" s="77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</row>
    <row r="633" spans="1:19" s="71" customFormat="1" ht="15" x14ac:dyDescent="0.25">
      <c r="A633" s="76"/>
      <c r="B633" s="77"/>
      <c r="C633" s="77"/>
      <c r="D633" s="77"/>
      <c r="E633" s="77"/>
      <c r="F633" s="77"/>
      <c r="G633" s="77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</row>
    <row r="634" spans="1:19" s="71" customFormat="1" ht="15" x14ac:dyDescent="0.25">
      <c r="A634" s="76"/>
      <c r="B634" s="77"/>
      <c r="C634" s="77"/>
      <c r="D634" s="77"/>
      <c r="E634" s="77"/>
      <c r="F634" s="77"/>
      <c r="G634" s="77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</row>
    <row r="635" spans="1:19" s="71" customFormat="1" ht="15" x14ac:dyDescent="0.25">
      <c r="A635" s="76"/>
      <c r="B635" s="77"/>
      <c r="C635" s="77"/>
      <c r="D635" s="77"/>
      <c r="E635" s="77"/>
      <c r="F635" s="77"/>
      <c r="G635" s="77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</row>
    <row r="636" spans="1:19" s="71" customFormat="1" ht="15" x14ac:dyDescent="0.25">
      <c r="A636" s="76"/>
      <c r="B636" s="77"/>
      <c r="C636" s="77"/>
      <c r="D636" s="77"/>
      <c r="E636" s="77"/>
      <c r="F636" s="77"/>
      <c r="G636" s="77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</row>
    <row r="637" spans="1:19" s="71" customFormat="1" ht="15" x14ac:dyDescent="0.25">
      <c r="A637" s="76"/>
      <c r="B637" s="77"/>
      <c r="C637" s="77"/>
      <c r="D637" s="77"/>
      <c r="E637" s="77"/>
      <c r="F637" s="77"/>
      <c r="G637" s="77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</row>
    <row r="638" spans="1:19" s="71" customFormat="1" ht="15" x14ac:dyDescent="0.25">
      <c r="A638" s="76"/>
      <c r="B638" s="77"/>
      <c r="C638" s="77"/>
      <c r="D638" s="77"/>
      <c r="E638" s="77"/>
      <c r="F638" s="77"/>
      <c r="G638" s="77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</row>
    <row r="639" spans="1:19" s="71" customFormat="1" ht="15" x14ac:dyDescent="0.25">
      <c r="A639" s="76"/>
      <c r="B639" s="77"/>
      <c r="C639" s="77"/>
      <c r="D639" s="77"/>
      <c r="E639" s="77"/>
      <c r="F639" s="77"/>
      <c r="G639" s="77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</row>
    <row r="640" spans="1:19" s="71" customFormat="1" ht="15" x14ac:dyDescent="0.25">
      <c r="A640" s="76"/>
      <c r="B640" s="77"/>
      <c r="C640" s="77"/>
      <c r="D640" s="77"/>
      <c r="E640" s="77"/>
      <c r="F640" s="77"/>
      <c r="G640" s="77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</row>
    <row r="641" spans="1:19" s="71" customFormat="1" ht="15" x14ac:dyDescent="0.25">
      <c r="A641" s="76"/>
      <c r="B641" s="77"/>
      <c r="C641" s="77"/>
      <c r="D641" s="77"/>
      <c r="E641" s="77"/>
      <c r="F641" s="77"/>
      <c r="G641" s="77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</row>
    <row r="642" spans="1:19" s="71" customFormat="1" ht="15" x14ac:dyDescent="0.25">
      <c r="A642" s="76"/>
      <c r="B642" s="77"/>
      <c r="C642" s="77"/>
      <c r="D642" s="77"/>
      <c r="E642" s="77"/>
      <c r="F642" s="77"/>
      <c r="G642" s="77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</row>
    <row r="643" spans="1:19" s="71" customFormat="1" ht="15" x14ac:dyDescent="0.25">
      <c r="A643" s="76"/>
      <c r="B643" s="77"/>
      <c r="C643" s="77"/>
      <c r="D643" s="77"/>
      <c r="E643" s="77"/>
      <c r="F643" s="77"/>
      <c r="G643" s="77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</row>
    <row r="644" spans="1:19" s="71" customFormat="1" ht="15" x14ac:dyDescent="0.25">
      <c r="A644" s="76"/>
      <c r="B644" s="77"/>
      <c r="C644" s="77"/>
      <c r="D644" s="77"/>
      <c r="E644" s="77"/>
      <c r="F644" s="77"/>
      <c r="G644" s="77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</row>
    <row r="645" spans="1:19" s="71" customFormat="1" ht="15" x14ac:dyDescent="0.25">
      <c r="A645" s="76"/>
      <c r="B645" s="77"/>
      <c r="C645" s="77"/>
      <c r="D645" s="77"/>
      <c r="E645" s="77"/>
      <c r="F645" s="77"/>
      <c r="G645" s="77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</row>
    <row r="646" spans="1:19" s="71" customFormat="1" ht="15" x14ac:dyDescent="0.25">
      <c r="A646" s="76"/>
      <c r="B646" s="77"/>
      <c r="C646" s="77"/>
      <c r="D646" s="77"/>
      <c r="E646" s="77"/>
      <c r="F646" s="77"/>
      <c r="G646" s="77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</row>
    <row r="647" spans="1:19" s="71" customFormat="1" ht="15" x14ac:dyDescent="0.25">
      <c r="A647" s="76"/>
      <c r="B647" s="77"/>
      <c r="C647" s="77"/>
      <c r="D647" s="77"/>
      <c r="E647" s="77"/>
      <c r="F647" s="77"/>
      <c r="G647" s="77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</row>
    <row r="648" spans="1:19" s="71" customFormat="1" ht="15" x14ac:dyDescent="0.25">
      <c r="A648" s="76"/>
      <c r="B648" s="77"/>
      <c r="C648" s="77"/>
      <c r="D648" s="77"/>
      <c r="E648" s="77"/>
      <c r="F648" s="77"/>
      <c r="G648" s="77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</row>
    <row r="649" spans="1:19" s="71" customFormat="1" ht="15" x14ac:dyDescent="0.25">
      <c r="A649" s="76"/>
      <c r="B649" s="77"/>
      <c r="C649" s="77"/>
      <c r="D649" s="77"/>
      <c r="E649" s="77"/>
      <c r="F649" s="77"/>
      <c r="G649" s="77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</row>
    <row r="650" spans="1:19" s="71" customFormat="1" ht="15" x14ac:dyDescent="0.25">
      <c r="A650" s="76"/>
      <c r="B650" s="77"/>
      <c r="C650" s="77"/>
      <c r="D650" s="77"/>
      <c r="E650" s="77"/>
      <c r="F650" s="77"/>
      <c r="G650" s="77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</row>
    <row r="651" spans="1:19" s="71" customFormat="1" ht="15" x14ac:dyDescent="0.25">
      <c r="A651" s="76"/>
      <c r="B651" s="77"/>
      <c r="C651" s="77"/>
      <c r="D651" s="77"/>
      <c r="E651" s="77"/>
      <c r="F651" s="77"/>
      <c r="G651" s="77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</row>
    <row r="652" spans="1:19" s="71" customFormat="1" ht="15" x14ac:dyDescent="0.25">
      <c r="A652" s="76"/>
      <c r="B652" s="77"/>
      <c r="C652" s="77"/>
      <c r="D652" s="77"/>
      <c r="E652" s="77"/>
      <c r="F652" s="77"/>
      <c r="G652" s="77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</row>
    <row r="653" spans="1:19" s="71" customFormat="1" ht="15" x14ac:dyDescent="0.25">
      <c r="A653" s="76"/>
      <c r="B653" s="77"/>
      <c r="C653" s="77"/>
      <c r="D653" s="77"/>
      <c r="E653" s="77"/>
      <c r="F653" s="77"/>
      <c r="G653" s="77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</row>
    <row r="654" spans="1:19" s="71" customFormat="1" ht="15" x14ac:dyDescent="0.25">
      <c r="A654" s="76"/>
      <c r="B654" s="77"/>
      <c r="C654" s="77"/>
      <c r="D654" s="77"/>
      <c r="E654" s="77"/>
      <c r="F654" s="77"/>
      <c r="G654" s="77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</row>
    <row r="655" spans="1:19" s="71" customFormat="1" ht="15" x14ac:dyDescent="0.25">
      <c r="A655" s="76"/>
      <c r="B655" s="77"/>
      <c r="C655" s="77"/>
      <c r="D655" s="77"/>
      <c r="E655" s="77"/>
      <c r="F655" s="77"/>
      <c r="G655" s="77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</row>
    <row r="656" spans="1:19" s="71" customFormat="1" ht="15" x14ac:dyDescent="0.25">
      <c r="A656" s="76"/>
      <c r="B656" s="77"/>
      <c r="C656" s="77"/>
      <c r="D656" s="77"/>
      <c r="E656" s="77"/>
      <c r="F656" s="77"/>
      <c r="G656" s="77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</row>
    <row r="657" spans="1:19" s="71" customFormat="1" ht="15" x14ac:dyDescent="0.25">
      <c r="A657" s="76"/>
      <c r="B657" s="77"/>
      <c r="C657" s="77"/>
      <c r="D657" s="77"/>
      <c r="E657" s="77"/>
      <c r="F657" s="77"/>
      <c r="G657" s="77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</row>
    <row r="658" spans="1:19" s="71" customFormat="1" ht="15" x14ac:dyDescent="0.25">
      <c r="A658" s="76"/>
      <c r="B658" s="77"/>
      <c r="C658" s="77"/>
      <c r="D658" s="77"/>
      <c r="E658" s="77"/>
      <c r="F658" s="77"/>
      <c r="G658" s="77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</row>
    <row r="659" spans="1:19" s="71" customFormat="1" ht="15" x14ac:dyDescent="0.25">
      <c r="A659" s="76"/>
      <c r="B659" s="77"/>
      <c r="C659" s="77"/>
      <c r="D659" s="77"/>
      <c r="E659" s="77"/>
      <c r="F659" s="77"/>
      <c r="G659" s="77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</row>
    <row r="660" spans="1:19" s="71" customFormat="1" ht="15" x14ac:dyDescent="0.25">
      <c r="A660" s="76"/>
      <c r="B660" s="77"/>
      <c r="C660" s="77"/>
      <c r="D660" s="77"/>
      <c r="E660" s="77"/>
      <c r="F660" s="77"/>
      <c r="G660" s="77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</row>
    <row r="661" spans="1:19" s="71" customFormat="1" ht="15" x14ac:dyDescent="0.25">
      <c r="A661" s="76"/>
      <c r="B661" s="77"/>
      <c r="C661" s="77"/>
      <c r="D661" s="77"/>
      <c r="E661" s="77"/>
      <c r="F661" s="77"/>
      <c r="G661" s="77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</row>
    <row r="662" spans="1:19" s="71" customFormat="1" ht="15" x14ac:dyDescent="0.25">
      <c r="A662" s="76"/>
      <c r="B662" s="77"/>
      <c r="C662" s="77"/>
      <c r="D662" s="77"/>
      <c r="E662" s="77"/>
      <c r="F662" s="77"/>
      <c r="G662" s="77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</row>
    <row r="663" spans="1:19" s="71" customFormat="1" ht="15" x14ac:dyDescent="0.25">
      <c r="A663" s="76"/>
      <c r="B663" s="77"/>
      <c r="C663" s="77"/>
      <c r="D663" s="77"/>
      <c r="E663" s="77"/>
      <c r="F663" s="77"/>
      <c r="G663" s="77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</row>
    <row r="664" spans="1:19" s="71" customFormat="1" ht="15" x14ac:dyDescent="0.25">
      <c r="A664" s="76"/>
      <c r="B664" s="77"/>
      <c r="C664" s="77"/>
      <c r="D664" s="77"/>
      <c r="E664" s="77"/>
      <c r="F664" s="77"/>
      <c r="G664" s="77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</row>
    <row r="665" spans="1:19" s="71" customFormat="1" ht="15" x14ac:dyDescent="0.25">
      <c r="A665" s="76"/>
      <c r="B665" s="77"/>
      <c r="C665" s="77"/>
      <c r="D665" s="77"/>
      <c r="E665" s="77"/>
      <c r="F665" s="77"/>
      <c r="G665" s="77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</row>
    <row r="666" spans="1:19" s="71" customFormat="1" ht="15" x14ac:dyDescent="0.25">
      <c r="A666" s="76"/>
      <c r="B666" s="77"/>
      <c r="C666" s="77"/>
      <c r="D666" s="77"/>
      <c r="E666" s="77"/>
      <c r="F666" s="77"/>
      <c r="G666" s="77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</row>
    <row r="667" spans="1:19" s="71" customFormat="1" ht="15" x14ac:dyDescent="0.25">
      <c r="A667" s="76"/>
      <c r="B667" s="77"/>
      <c r="C667" s="77"/>
      <c r="D667" s="77"/>
      <c r="E667" s="77"/>
      <c r="F667" s="77"/>
      <c r="G667" s="77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</row>
    <row r="668" spans="1:19" s="71" customFormat="1" ht="15" x14ac:dyDescent="0.25">
      <c r="A668" s="76"/>
      <c r="B668" s="77"/>
      <c r="C668" s="77"/>
      <c r="D668" s="77"/>
      <c r="E668" s="77"/>
      <c r="F668" s="77"/>
      <c r="G668" s="77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</row>
    <row r="669" spans="1:19" s="71" customFormat="1" ht="15" x14ac:dyDescent="0.25">
      <c r="A669" s="76"/>
      <c r="B669" s="77"/>
      <c r="C669" s="77"/>
      <c r="D669" s="77"/>
      <c r="E669" s="77"/>
      <c r="F669" s="77"/>
      <c r="G669" s="77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</row>
    <row r="670" spans="1:19" s="71" customFormat="1" ht="15" x14ac:dyDescent="0.25">
      <c r="A670" s="76"/>
      <c r="B670" s="77"/>
      <c r="C670" s="77"/>
      <c r="D670" s="77"/>
      <c r="E670" s="77"/>
      <c r="F670" s="77"/>
      <c r="G670" s="77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</row>
    <row r="671" spans="1:19" s="71" customFormat="1" ht="15" x14ac:dyDescent="0.25">
      <c r="A671" s="76"/>
      <c r="B671" s="77"/>
      <c r="C671" s="77"/>
      <c r="D671" s="77"/>
      <c r="E671" s="77"/>
      <c r="F671" s="77"/>
      <c r="G671" s="77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</row>
    <row r="672" spans="1:19" s="71" customFormat="1" ht="15" x14ac:dyDescent="0.25">
      <c r="A672" s="76"/>
      <c r="B672" s="77"/>
      <c r="C672" s="77"/>
      <c r="D672" s="77"/>
      <c r="E672" s="77"/>
      <c r="F672" s="77"/>
      <c r="G672" s="77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</row>
    <row r="673" spans="1:19" s="71" customFormat="1" ht="15" x14ac:dyDescent="0.25">
      <c r="A673" s="76"/>
      <c r="B673" s="77"/>
      <c r="C673" s="77"/>
      <c r="D673" s="77"/>
      <c r="E673" s="77"/>
      <c r="F673" s="77"/>
      <c r="G673" s="77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</row>
    <row r="674" spans="1:19" s="71" customFormat="1" ht="15" x14ac:dyDescent="0.25">
      <c r="A674" s="76"/>
      <c r="B674" s="77"/>
      <c r="C674" s="77"/>
      <c r="D674" s="77"/>
      <c r="E674" s="77"/>
      <c r="F674" s="77"/>
      <c r="G674" s="77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</row>
    <row r="675" spans="1:19" s="71" customFormat="1" ht="15" x14ac:dyDescent="0.25">
      <c r="A675" s="76"/>
      <c r="B675" s="77"/>
      <c r="C675" s="77"/>
      <c r="D675" s="77"/>
      <c r="E675" s="77"/>
      <c r="F675" s="77"/>
      <c r="G675" s="77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</row>
    <row r="676" spans="1:19" s="71" customFormat="1" ht="15" x14ac:dyDescent="0.25">
      <c r="A676" s="76"/>
      <c r="B676" s="77"/>
      <c r="C676" s="77"/>
      <c r="D676" s="77"/>
      <c r="E676" s="77"/>
      <c r="F676" s="77"/>
      <c r="G676" s="77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</row>
    <row r="677" spans="1:19" s="71" customFormat="1" ht="15" x14ac:dyDescent="0.25">
      <c r="A677" s="76"/>
      <c r="B677" s="77"/>
      <c r="C677" s="77"/>
      <c r="D677" s="77"/>
      <c r="E677" s="77"/>
      <c r="F677" s="77"/>
      <c r="G677" s="77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</row>
    <row r="678" spans="1:19" s="71" customFormat="1" ht="15" x14ac:dyDescent="0.25">
      <c r="A678" s="76"/>
      <c r="B678" s="77"/>
      <c r="C678" s="77"/>
      <c r="D678" s="77"/>
      <c r="E678" s="77"/>
      <c r="F678" s="77"/>
      <c r="G678" s="77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</row>
    <row r="679" spans="1:19" s="71" customFormat="1" ht="15" x14ac:dyDescent="0.25">
      <c r="A679" s="76"/>
      <c r="B679" s="77"/>
      <c r="C679" s="77"/>
      <c r="D679" s="77"/>
      <c r="E679" s="77"/>
      <c r="F679" s="77"/>
      <c r="G679" s="77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</row>
    <row r="680" spans="1:19" s="71" customFormat="1" ht="15" x14ac:dyDescent="0.25">
      <c r="A680" s="76"/>
      <c r="B680" s="77"/>
      <c r="C680" s="77"/>
      <c r="D680" s="77"/>
      <c r="E680" s="77"/>
      <c r="F680" s="77"/>
      <c r="G680" s="77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</row>
    <row r="681" spans="1:19" s="71" customFormat="1" ht="15" x14ac:dyDescent="0.25">
      <c r="A681" s="76"/>
      <c r="B681" s="77"/>
      <c r="C681" s="77"/>
      <c r="D681" s="77"/>
      <c r="E681" s="77"/>
      <c r="F681" s="77"/>
      <c r="G681" s="77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</row>
    <row r="682" spans="1:19" s="71" customFormat="1" ht="15" x14ac:dyDescent="0.25">
      <c r="A682" s="76"/>
      <c r="B682" s="77"/>
      <c r="C682" s="77"/>
      <c r="D682" s="77"/>
      <c r="E682" s="77"/>
      <c r="F682" s="77"/>
      <c r="G682" s="77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</row>
    <row r="683" spans="1:19" s="71" customFormat="1" ht="15" x14ac:dyDescent="0.25">
      <c r="A683" s="76"/>
      <c r="B683" s="77"/>
      <c r="C683" s="77"/>
      <c r="D683" s="77"/>
      <c r="E683" s="77"/>
      <c r="F683" s="77"/>
      <c r="G683" s="77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</row>
    <row r="684" spans="1:19" s="71" customFormat="1" ht="15" x14ac:dyDescent="0.25">
      <c r="A684" s="76"/>
      <c r="B684" s="77"/>
      <c r="C684" s="77"/>
      <c r="D684" s="77"/>
      <c r="E684" s="77"/>
      <c r="F684" s="77"/>
      <c r="G684" s="77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</row>
    <row r="685" spans="1:19" s="71" customFormat="1" ht="15" x14ac:dyDescent="0.25">
      <c r="A685" s="76"/>
      <c r="B685" s="77"/>
      <c r="C685" s="77"/>
      <c r="D685" s="77"/>
      <c r="E685" s="77"/>
      <c r="F685" s="77"/>
      <c r="G685" s="77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</row>
    <row r="686" spans="1:19" s="71" customFormat="1" ht="15" x14ac:dyDescent="0.25">
      <c r="A686" s="76"/>
      <c r="B686" s="77"/>
      <c r="C686" s="77"/>
      <c r="D686" s="77"/>
      <c r="E686" s="77"/>
      <c r="F686" s="77"/>
      <c r="G686" s="77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</row>
    <row r="687" spans="1:19" s="71" customFormat="1" ht="15" x14ac:dyDescent="0.25">
      <c r="A687" s="76"/>
      <c r="B687" s="77"/>
      <c r="C687" s="77"/>
      <c r="D687" s="77"/>
      <c r="E687" s="77"/>
      <c r="F687" s="77"/>
      <c r="G687" s="77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</row>
    <row r="688" spans="1:19" s="71" customFormat="1" ht="15" x14ac:dyDescent="0.25">
      <c r="A688" s="76"/>
      <c r="B688" s="77"/>
      <c r="C688" s="77"/>
      <c r="D688" s="77"/>
      <c r="E688" s="77"/>
      <c r="F688" s="77"/>
      <c r="G688" s="77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</row>
    <row r="689" spans="1:19" s="71" customFormat="1" ht="15" x14ac:dyDescent="0.25">
      <c r="A689" s="76"/>
      <c r="B689" s="77"/>
      <c r="C689" s="77"/>
      <c r="D689" s="77"/>
      <c r="E689" s="77"/>
      <c r="F689" s="77"/>
      <c r="G689" s="77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</row>
    <row r="690" spans="1:19" s="71" customFormat="1" ht="15" x14ac:dyDescent="0.25">
      <c r="A690" s="76"/>
      <c r="B690" s="77"/>
      <c r="C690" s="77"/>
      <c r="D690" s="77"/>
      <c r="E690" s="77"/>
      <c r="F690" s="77"/>
      <c r="G690" s="77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</row>
    <row r="691" spans="1:19" s="71" customFormat="1" ht="15" x14ac:dyDescent="0.25">
      <c r="A691" s="76"/>
      <c r="B691" s="77"/>
      <c r="C691" s="77"/>
      <c r="D691" s="77"/>
      <c r="E691" s="77"/>
      <c r="F691" s="77"/>
      <c r="G691" s="77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</row>
    <row r="692" spans="1:19" s="71" customFormat="1" ht="15" x14ac:dyDescent="0.25">
      <c r="A692" s="76"/>
      <c r="B692" s="77"/>
      <c r="C692" s="77"/>
      <c r="D692" s="77"/>
      <c r="E692" s="77"/>
      <c r="F692" s="77"/>
      <c r="G692" s="77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</row>
    <row r="693" spans="1:19" s="71" customFormat="1" ht="15" x14ac:dyDescent="0.25">
      <c r="A693" s="76"/>
      <c r="B693" s="77"/>
      <c r="C693" s="77"/>
      <c r="D693" s="77"/>
      <c r="E693" s="77"/>
      <c r="F693" s="77"/>
      <c r="G693" s="77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</row>
    <row r="694" spans="1:19" s="71" customFormat="1" ht="15" x14ac:dyDescent="0.25">
      <c r="A694" s="76"/>
      <c r="B694" s="77"/>
      <c r="C694" s="77"/>
      <c r="D694" s="77"/>
      <c r="E694" s="77"/>
      <c r="F694" s="77"/>
      <c r="G694" s="77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</row>
    <row r="695" spans="1:19" s="71" customFormat="1" ht="15" x14ac:dyDescent="0.25">
      <c r="A695" s="76"/>
      <c r="B695" s="77"/>
      <c r="C695" s="77"/>
      <c r="D695" s="77"/>
      <c r="E695" s="77"/>
      <c r="F695" s="77"/>
      <c r="G695" s="77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</row>
    <row r="696" spans="1:19" s="71" customFormat="1" ht="15" x14ac:dyDescent="0.25">
      <c r="A696" s="76"/>
      <c r="B696" s="77"/>
      <c r="C696" s="77"/>
      <c r="D696" s="77"/>
      <c r="E696" s="77"/>
      <c r="F696" s="77"/>
      <c r="G696" s="77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</row>
    <row r="697" spans="1:19" s="71" customFormat="1" ht="15" x14ac:dyDescent="0.25">
      <c r="A697" s="76"/>
      <c r="B697" s="77"/>
      <c r="C697" s="77"/>
      <c r="D697" s="77"/>
      <c r="E697" s="77"/>
      <c r="F697" s="77"/>
      <c r="G697" s="77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</row>
    <row r="698" spans="1:19" s="71" customFormat="1" ht="15" x14ac:dyDescent="0.25">
      <c r="A698" s="76"/>
      <c r="B698" s="77"/>
      <c r="C698" s="77"/>
      <c r="D698" s="77"/>
      <c r="E698" s="77"/>
      <c r="F698" s="77"/>
      <c r="G698" s="77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</row>
    <row r="699" spans="1:19" s="71" customFormat="1" ht="15" x14ac:dyDescent="0.25">
      <c r="A699" s="76"/>
      <c r="B699" s="77"/>
      <c r="C699" s="77"/>
      <c r="D699" s="77"/>
      <c r="E699" s="77"/>
      <c r="F699" s="77"/>
      <c r="G699" s="77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</row>
    <row r="700" spans="1:19" s="71" customFormat="1" ht="15" x14ac:dyDescent="0.25">
      <c r="A700" s="76"/>
      <c r="B700" s="77"/>
      <c r="C700" s="77"/>
      <c r="D700" s="77"/>
      <c r="E700" s="77"/>
      <c r="F700" s="77"/>
      <c r="G700" s="77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</row>
    <row r="701" spans="1:19" s="71" customFormat="1" ht="15" x14ac:dyDescent="0.25">
      <c r="A701" s="76"/>
      <c r="B701" s="77"/>
      <c r="C701" s="77"/>
      <c r="D701" s="77"/>
      <c r="E701" s="77"/>
      <c r="F701" s="77"/>
      <c r="G701" s="77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</row>
    <row r="702" spans="1:19" s="71" customFormat="1" ht="15" x14ac:dyDescent="0.25">
      <c r="A702" s="76"/>
      <c r="B702" s="77"/>
      <c r="C702" s="77"/>
      <c r="D702" s="77"/>
      <c r="E702" s="77"/>
      <c r="F702" s="77"/>
      <c r="G702" s="77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</row>
    <row r="703" spans="1:19" s="71" customFormat="1" ht="15" x14ac:dyDescent="0.25">
      <c r="A703" s="76"/>
      <c r="B703" s="77"/>
      <c r="C703" s="77"/>
      <c r="D703" s="77"/>
      <c r="E703" s="77"/>
      <c r="F703" s="77"/>
      <c r="G703" s="77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</row>
    <row r="704" spans="1:19" s="71" customFormat="1" ht="15" x14ac:dyDescent="0.25">
      <c r="A704" s="76"/>
      <c r="B704" s="77"/>
      <c r="C704" s="77"/>
      <c r="D704" s="77"/>
      <c r="E704" s="77"/>
      <c r="F704" s="77"/>
      <c r="G704" s="77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</row>
    <row r="705" spans="1:19" s="71" customFormat="1" ht="15" x14ac:dyDescent="0.25">
      <c r="A705" s="76"/>
      <c r="B705" s="77"/>
      <c r="C705" s="77"/>
      <c r="D705" s="77"/>
      <c r="E705" s="77"/>
      <c r="F705" s="77"/>
      <c r="G705" s="77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</row>
    <row r="706" spans="1:19" s="71" customFormat="1" ht="15" x14ac:dyDescent="0.25">
      <c r="A706" s="76"/>
      <c r="B706" s="77"/>
      <c r="C706" s="77"/>
      <c r="D706" s="77"/>
      <c r="E706" s="77"/>
      <c r="F706" s="77"/>
      <c r="G706" s="77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</row>
    <row r="707" spans="1:19" s="71" customFormat="1" ht="15" x14ac:dyDescent="0.25">
      <c r="A707" s="76"/>
      <c r="B707" s="77"/>
      <c r="C707" s="77"/>
      <c r="D707" s="77"/>
      <c r="E707" s="77"/>
      <c r="F707" s="77"/>
      <c r="G707" s="77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</row>
    <row r="708" spans="1:19" s="71" customFormat="1" ht="15" x14ac:dyDescent="0.25">
      <c r="A708" s="76"/>
      <c r="B708" s="77"/>
      <c r="C708" s="77"/>
      <c r="D708" s="77"/>
      <c r="E708" s="77"/>
      <c r="F708" s="77"/>
      <c r="G708" s="77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</row>
    <row r="709" spans="1:19" s="71" customFormat="1" ht="15" x14ac:dyDescent="0.25">
      <c r="A709" s="76"/>
      <c r="B709" s="77"/>
      <c r="C709" s="77"/>
      <c r="D709" s="77"/>
      <c r="E709" s="77"/>
      <c r="F709" s="77"/>
      <c r="G709" s="77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</row>
    <row r="710" spans="1:19" s="71" customFormat="1" ht="15" x14ac:dyDescent="0.25">
      <c r="A710" s="76"/>
      <c r="B710" s="77"/>
      <c r="C710" s="77"/>
      <c r="D710" s="77"/>
      <c r="E710" s="77"/>
      <c r="F710" s="77"/>
      <c r="G710" s="77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</row>
    <row r="711" spans="1:19" s="71" customFormat="1" ht="15" x14ac:dyDescent="0.25">
      <c r="A711" s="76"/>
      <c r="B711" s="77"/>
      <c r="C711" s="77"/>
      <c r="D711" s="77"/>
      <c r="E711" s="77"/>
      <c r="F711" s="77"/>
      <c r="G711" s="77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</row>
    <row r="712" spans="1:19" s="71" customFormat="1" ht="15" x14ac:dyDescent="0.25">
      <c r="A712" s="76"/>
      <c r="B712" s="77"/>
      <c r="C712" s="77"/>
      <c r="D712" s="77"/>
      <c r="E712" s="77"/>
      <c r="F712" s="77"/>
      <c r="G712" s="77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</row>
    <row r="713" spans="1:19" s="71" customFormat="1" ht="15" x14ac:dyDescent="0.25">
      <c r="A713" s="76"/>
      <c r="B713" s="77"/>
      <c r="C713" s="77"/>
      <c r="D713" s="77"/>
      <c r="E713" s="77"/>
      <c r="F713" s="77"/>
      <c r="G713" s="77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</row>
    <row r="714" spans="1:19" s="71" customFormat="1" ht="15" x14ac:dyDescent="0.25">
      <c r="A714" s="76"/>
      <c r="B714" s="77"/>
      <c r="C714" s="77"/>
      <c r="D714" s="77"/>
      <c r="E714" s="77"/>
      <c r="F714" s="77"/>
      <c r="G714" s="77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</row>
    <row r="715" spans="1:19" s="71" customFormat="1" ht="15" x14ac:dyDescent="0.25">
      <c r="A715" s="76"/>
      <c r="B715" s="77"/>
      <c r="C715" s="77"/>
      <c r="D715" s="77"/>
      <c r="E715" s="77"/>
      <c r="F715" s="77"/>
      <c r="G715" s="77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</row>
    <row r="716" spans="1:19" s="71" customFormat="1" ht="15" x14ac:dyDescent="0.25">
      <c r="A716" s="76"/>
      <c r="B716" s="77"/>
      <c r="C716" s="77"/>
      <c r="D716" s="77"/>
      <c r="E716" s="77"/>
      <c r="F716" s="77"/>
      <c r="G716" s="77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</row>
    <row r="717" spans="1:19" s="71" customFormat="1" ht="15" x14ac:dyDescent="0.25">
      <c r="A717" s="76"/>
      <c r="B717" s="77"/>
      <c r="C717" s="77"/>
      <c r="D717" s="77"/>
      <c r="E717" s="77"/>
      <c r="F717" s="77"/>
      <c r="G717" s="77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</row>
    <row r="718" spans="1:19" s="71" customFormat="1" ht="15" x14ac:dyDescent="0.25">
      <c r="A718" s="76"/>
      <c r="B718" s="77"/>
      <c r="C718" s="77"/>
      <c r="D718" s="77"/>
      <c r="E718" s="77"/>
      <c r="F718" s="77"/>
      <c r="G718" s="77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</row>
    <row r="719" spans="1:19" s="71" customFormat="1" ht="15" x14ac:dyDescent="0.25">
      <c r="A719" s="76"/>
      <c r="B719" s="77"/>
      <c r="C719" s="77"/>
      <c r="D719" s="77"/>
      <c r="E719" s="77"/>
      <c r="F719" s="77"/>
      <c r="G719" s="77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</row>
    <row r="720" spans="1:19" s="71" customFormat="1" ht="15" x14ac:dyDescent="0.25">
      <c r="A720" s="76"/>
      <c r="B720" s="77"/>
      <c r="C720" s="77"/>
      <c r="D720" s="77"/>
      <c r="E720" s="77"/>
      <c r="F720" s="77"/>
      <c r="G720" s="77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</row>
    <row r="721" spans="1:19" s="71" customFormat="1" ht="15" x14ac:dyDescent="0.25">
      <c r="A721" s="76"/>
      <c r="B721" s="77"/>
      <c r="C721" s="77"/>
      <c r="D721" s="77"/>
      <c r="E721" s="77"/>
      <c r="F721" s="77"/>
      <c r="G721" s="77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</row>
    <row r="722" spans="1:19" s="71" customFormat="1" ht="15" x14ac:dyDescent="0.25">
      <c r="A722" s="76"/>
      <c r="B722" s="77"/>
      <c r="C722" s="77"/>
      <c r="D722" s="77"/>
      <c r="E722" s="77"/>
      <c r="F722" s="77"/>
      <c r="G722" s="77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</row>
    <row r="723" spans="1:19" s="71" customFormat="1" ht="15" x14ac:dyDescent="0.25">
      <c r="A723" s="76"/>
      <c r="B723" s="77"/>
      <c r="C723" s="77"/>
      <c r="D723" s="77"/>
      <c r="E723" s="77"/>
      <c r="F723" s="77"/>
      <c r="G723" s="77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</row>
    <row r="724" spans="1:19" s="71" customFormat="1" ht="15" x14ac:dyDescent="0.25">
      <c r="A724" s="76"/>
      <c r="B724" s="77"/>
      <c r="C724" s="77"/>
      <c r="D724" s="77"/>
      <c r="E724" s="77"/>
      <c r="F724" s="77"/>
      <c r="G724" s="77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</row>
    <row r="725" spans="1:19" s="71" customFormat="1" ht="15" x14ac:dyDescent="0.25">
      <c r="A725" s="76"/>
      <c r="B725" s="77"/>
      <c r="C725" s="77"/>
      <c r="D725" s="77"/>
      <c r="E725" s="77"/>
      <c r="F725" s="77"/>
      <c r="G725" s="77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</row>
    <row r="726" spans="1:19" s="71" customFormat="1" ht="15" x14ac:dyDescent="0.25">
      <c r="A726" s="76"/>
      <c r="B726" s="77"/>
      <c r="C726" s="77"/>
      <c r="D726" s="77"/>
      <c r="E726" s="77"/>
      <c r="F726" s="77"/>
      <c r="G726" s="77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</row>
    <row r="727" spans="1:19" x14ac:dyDescent="0.2">
      <c r="A727" s="78"/>
      <c r="B727" s="78"/>
      <c r="C727" s="78"/>
      <c r="D727" s="78"/>
      <c r="E727" s="77"/>
      <c r="F727" s="77"/>
      <c r="G727" s="77"/>
      <c r="H727" s="77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</row>
    <row r="728" spans="1:19" x14ac:dyDescent="0.2">
      <c r="A728" s="78"/>
      <c r="B728" s="78"/>
      <c r="C728" s="78"/>
      <c r="D728" s="78"/>
      <c r="E728" s="77"/>
      <c r="F728" s="77"/>
      <c r="G728" s="77"/>
      <c r="H728" s="77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</row>
    <row r="729" spans="1:19" x14ac:dyDescent="0.2">
      <c r="A729" s="78"/>
      <c r="B729" s="78"/>
      <c r="C729" s="78"/>
      <c r="D729" s="78"/>
      <c r="E729" s="77"/>
      <c r="F729" s="77"/>
      <c r="G729" s="77"/>
      <c r="H729" s="77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</row>
    <row r="730" spans="1:19" x14ac:dyDescent="0.2">
      <c r="A730" s="78"/>
      <c r="B730" s="78"/>
      <c r="C730" s="78"/>
      <c r="D730" s="78"/>
      <c r="E730" s="77"/>
      <c r="F730" s="77"/>
      <c r="G730" s="77"/>
      <c r="H730" s="77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</row>
    <row r="731" spans="1:19" x14ac:dyDescent="0.2">
      <c r="A731" s="78"/>
      <c r="B731" s="78"/>
      <c r="C731" s="78"/>
      <c r="D731" s="78"/>
      <c r="E731" s="77"/>
      <c r="F731" s="77"/>
      <c r="G731" s="77"/>
      <c r="H731" s="77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</row>
    <row r="732" spans="1:19" x14ac:dyDescent="0.2">
      <c r="A732" s="78"/>
      <c r="B732" s="78"/>
      <c r="C732" s="78"/>
      <c r="D732" s="78"/>
      <c r="E732" s="77"/>
      <c r="F732" s="77"/>
      <c r="G732" s="77"/>
      <c r="H732" s="77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</row>
    <row r="733" spans="1:19" x14ac:dyDescent="0.2">
      <c r="A733" s="78"/>
      <c r="B733" s="78"/>
      <c r="C733" s="78"/>
      <c r="D733" s="78"/>
      <c r="E733" s="77"/>
      <c r="F733" s="77"/>
      <c r="G733" s="77"/>
      <c r="H733" s="77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</row>
    <row r="734" spans="1:19" x14ac:dyDescent="0.2">
      <c r="A734" s="78"/>
      <c r="B734" s="78"/>
      <c r="C734" s="78"/>
      <c r="D734" s="78"/>
      <c r="E734" s="77"/>
      <c r="F734" s="77"/>
      <c r="G734" s="77"/>
      <c r="H734" s="77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</row>
    <row r="735" spans="1:19" x14ac:dyDescent="0.2">
      <c r="A735" s="78"/>
      <c r="B735" s="78"/>
      <c r="C735" s="78"/>
      <c r="D735" s="78"/>
      <c r="E735" s="77"/>
      <c r="F735" s="77"/>
      <c r="G735" s="77"/>
      <c r="H735" s="77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</row>
    <row r="736" spans="1:19" x14ac:dyDescent="0.2">
      <c r="A736" s="78"/>
      <c r="B736" s="78"/>
      <c r="C736" s="78"/>
      <c r="D736" s="78"/>
      <c r="E736" s="77"/>
      <c r="F736" s="77"/>
      <c r="G736" s="77"/>
      <c r="H736" s="77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</row>
    <row r="737" spans="1:19" x14ac:dyDescent="0.2">
      <c r="A737" s="78"/>
      <c r="B737" s="78"/>
      <c r="C737" s="78"/>
      <c r="D737" s="78"/>
      <c r="E737" s="77"/>
      <c r="F737" s="77"/>
      <c r="G737" s="77"/>
      <c r="H737" s="77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</row>
    <row r="738" spans="1:19" x14ac:dyDescent="0.2">
      <c r="A738" s="78"/>
      <c r="B738" s="78"/>
      <c r="C738" s="78"/>
      <c r="D738" s="78"/>
      <c r="E738" s="77"/>
      <c r="F738" s="77"/>
      <c r="G738" s="77"/>
      <c r="H738" s="77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</row>
    <row r="739" spans="1:19" x14ac:dyDescent="0.2">
      <c r="A739" s="78"/>
      <c r="B739" s="78"/>
      <c r="C739" s="78"/>
      <c r="D739" s="78"/>
      <c r="E739" s="77"/>
      <c r="F739" s="77"/>
      <c r="G739" s="77"/>
      <c r="H739" s="77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</row>
    <row r="740" spans="1:19" x14ac:dyDescent="0.2">
      <c r="A740" s="78"/>
      <c r="B740" s="78"/>
      <c r="C740" s="78"/>
      <c r="D740" s="78"/>
      <c r="E740" s="77"/>
      <c r="F740" s="77"/>
      <c r="G740" s="77"/>
      <c r="H740" s="77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</row>
    <row r="741" spans="1:19" x14ac:dyDescent="0.2">
      <c r="A741" s="78"/>
      <c r="B741" s="78"/>
      <c r="C741" s="78"/>
      <c r="D741" s="78"/>
      <c r="E741" s="77"/>
      <c r="F741" s="77"/>
      <c r="G741" s="77"/>
      <c r="H741" s="77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</row>
    <row r="742" spans="1:19" x14ac:dyDescent="0.2">
      <c r="A742" s="78"/>
      <c r="B742" s="78"/>
      <c r="C742" s="78"/>
      <c r="D742" s="78"/>
      <c r="E742" s="77"/>
      <c r="F742" s="77"/>
      <c r="G742" s="77"/>
      <c r="H742" s="77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</row>
    <row r="743" spans="1:19" x14ac:dyDescent="0.2">
      <c r="A743" s="78"/>
      <c r="B743" s="78"/>
      <c r="C743" s="78"/>
      <c r="D743" s="78"/>
      <c r="E743" s="77"/>
      <c r="F743" s="77"/>
      <c r="G743" s="77"/>
      <c r="H743" s="77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</row>
    <row r="744" spans="1:19" x14ac:dyDescent="0.2">
      <c r="A744" s="78"/>
      <c r="B744" s="78"/>
      <c r="C744" s="78"/>
      <c r="D744" s="78"/>
      <c r="E744" s="77"/>
      <c r="F744" s="77"/>
      <c r="G744" s="77"/>
      <c r="H744" s="77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</row>
    <row r="745" spans="1:19" x14ac:dyDescent="0.2">
      <c r="A745" s="78"/>
      <c r="B745" s="78"/>
      <c r="C745" s="78"/>
      <c r="D745" s="78"/>
      <c r="E745" s="77"/>
      <c r="F745" s="77"/>
      <c r="G745" s="77"/>
      <c r="H745" s="77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</row>
    <row r="746" spans="1:19" x14ac:dyDescent="0.2">
      <c r="A746" s="78"/>
      <c r="B746" s="78"/>
      <c r="C746" s="78"/>
      <c r="D746" s="78"/>
      <c r="E746" s="77"/>
      <c r="F746" s="77"/>
      <c r="G746" s="77"/>
      <c r="H746" s="77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</row>
    <row r="747" spans="1:19" x14ac:dyDescent="0.2">
      <c r="A747" s="78"/>
      <c r="B747" s="78"/>
      <c r="C747" s="78"/>
      <c r="D747" s="78"/>
      <c r="E747" s="77"/>
      <c r="F747" s="77"/>
      <c r="G747" s="77"/>
      <c r="H747" s="77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</row>
    <row r="748" spans="1:19" x14ac:dyDescent="0.2">
      <c r="A748" s="78"/>
      <c r="B748" s="78"/>
      <c r="C748" s="78"/>
      <c r="D748" s="78"/>
      <c r="E748" s="77"/>
      <c r="F748" s="77"/>
      <c r="G748" s="77"/>
      <c r="H748" s="77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</row>
    <row r="749" spans="1:19" x14ac:dyDescent="0.2">
      <c r="A749" s="78"/>
      <c r="B749" s="78"/>
      <c r="C749" s="78"/>
      <c r="D749" s="78"/>
      <c r="E749" s="77"/>
      <c r="F749" s="77"/>
      <c r="G749" s="77"/>
      <c r="H749" s="77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</row>
    <row r="750" spans="1:19" x14ac:dyDescent="0.2">
      <c r="A750" s="78"/>
      <c r="B750" s="78"/>
      <c r="C750" s="78"/>
      <c r="D750" s="78"/>
      <c r="E750" s="77"/>
      <c r="F750" s="77"/>
      <c r="G750" s="77"/>
      <c r="H750" s="77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</row>
    <row r="751" spans="1:19" x14ac:dyDescent="0.2">
      <c r="A751" s="78"/>
      <c r="B751" s="78"/>
      <c r="C751" s="78"/>
      <c r="D751" s="78"/>
      <c r="E751" s="77"/>
      <c r="F751" s="77"/>
      <c r="G751" s="77"/>
      <c r="H751" s="77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</row>
    <row r="752" spans="1:19" x14ac:dyDescent="0.2">
      <c r="A752" s="78"/>
      <c r="B752" s="78"/>
      <c r="C752" s="78"/>
      <c r="D752" s="78"/>
      <c r="E752" s="77"/>
      <c r="F752" s="77"/>
      <c r="G752" s="77"/>
      <c r="H752" s="77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</row>
    <row r="753" spans="1:19" x14ac:dyDescent="0.2">
      <c r="A753" s="78"/>
      <c r="B753" s="78"/>
      <c r="C753" s="78"/>
      <c r="D753" s="78"/>
      <c r="E753" s="77"/>
      <c r="F753" s="77"/>
      <c r="G753" s="77"/>
      <c r="H753" s="77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</row>
    <row r="754" spans="1:19" x14ac:dyDescent="0.2">
      <c r="A754" s="78"/>
      <c r="B754" s="78"/>
      <c r="C754" s="78"/>
      <c r="D754" s="78"/>
      <c r="E754" s="77"/>
      <c r="F754" s="77"/>
      <c r="G754" s="77"/>
      <c r="H754" s="77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</row>
    <row r="755" spans="1:19" x14ac:dyDescent="0.2">
      <c r="A755" s="78"/>
      <c r="B755" s="78"/>
      <c r="C755" s="78"/>
      <c r="D755" s="78"/>
      <c r="E755" s="77"/>
      <c r="F755" s="77"/>
      <c r="G755" s="77"/>
      <c r="H755" s="77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</row>
    <row r="756" spans="1:19" x14ac:dyDescent="0.2">
      <c r="A756" s="78"/>
      <c r="B756" s="78"/>
      <c r="C756" s="78"/>
      <c r="D756" s="78"/>
      <c r="E756" s="77"/>
      <c r="F756" s="77"/>
      <c r="G756" s="77"/>
      <c r="H756" s="77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</row>
    <row r="757" spans="1:19" x14ac:dyDescent="0.2">
      <c r="A757" s="78"/>
      <c r="B757" s="78"/>
      <c r="C757" s="78"/>
      <c r="D757" s="78"/>
      <c r="E757" s="77"/>
      <c r="F757" s="77"/>
      <c r="G757" s="77"/>
      <c r="H757" s="77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</row>
    <row r="758" spans="1:19" x14ac:dyDescent="0.2">
      <c r="A758" s="78"/>
      <c r="B758" s="78"/>
      <c r="C758" s="78"/>
      <c r="D758" s="78"/>
      <c r="E758" s="77"/>
      <c r="F758" s="77"/>
      <c r="G758" s="77"/>
      <c r="H758" s="77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</row>
    <row r="759" spans="1:19" x14ac:dyDescent="0.2">
      <c r="A759" s="78"/>
      <c r="B759" s="78"/>
      <c r="C759" s="78"/>
      <c r="D759" s="78"/>
      <c r="E759" s="77"/>
      <c r="F759" s="77"/>
      <c r="G759" s="77"/>
      <c r="H759" s="77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</row>
    <row r="760" spans="1:19" x14ac:dyDescent="0.2">
      <c r="A760" s="78"/>
      <c r="B760" s="78"/>
      <c r="C760" s="78"/>
      <c r="D760" s="78"/>
      <c r="E760" s="77"/>
      <c r="F760" s="77"/>
      <c r="G760" s="77"/>
      <c r="H760" s="77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</row>
    <row r="761" spans="1:19" x14ac:dyDescent="0.2">
      <c r="A761" s="78"/>
      <c r="B761" s="78"/>
      <c r="C761" s="78"/>
      <c r="D761" s="78"/>
      <c r="E761" s="77"/>
      <c r="F761" s="77"/>
      <c r="G761" s="77"/>
      <c r="H761" s="77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</row>
    <row r="762" spans="1:19" x14ac:dyDescent="0.2">
      <c r="A762" s="78"/>
      <c r="B762" s="78"/>
      <c r="C762" s="78"/>
      <c r="D762" s="78"/>
      <c r="E762" s="77"/>
      <c r="F762" s="77"/>
      <c r="G762" s="77"/>
      <c r="H762" s="77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</row>
    <row r="763" spans="1:19" x14ac:dyDescent="0.2">
      <c r="A763" s="78"/>
      <c r="B763" s="78"/>
      <c r="C763" s="78"/>
      <c r="D763" s="78"/>
      <c r="E763" s="77"/>
      <c r="F763" s="77"/>
      <c r="G763" s="77"/>
      <c r="H763" s="77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</row>
    <row r="764" spans="1:19" x14ac:dyDescent="0.2">
      <c r="A764" s="78"/>
      <c r="B764" s="78"/>
      <c r="C764" s="78"/>
      <c r="D764" s="78"/>
      <c r="E764" s="77"/>
      <c r="F764" s="77"/>
      <c r="G764" s="77"/>
      <c r="H764" s="77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</row>
    <row r="765" spans="1:19" x14ac:dyDescent="0.2">
      <c r="A765" s="78"/>
      <c r="B765" s="78"/>
      <c r="C765" s="78"/>
      <c r="D765" s="78"/>
      <c r="E765" s="77"/>
      <c r="F765" s="77"/>
      <c r="G765" s="77"/>
      <c r="H765" s="77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</row>
    <row r="766" spans="1:19" x14ac:dyDescent="0.2">
      <c r="A766" s="78"/>
      <c r="B766" s="78"/>
      <c r="C766" s="78"/>
      <c r="D766" s="78"/>
      <c r="E766" s="77"/>
      <c r="F766" s="77"/>
      <c r="G766" s="77"/>
      <c r="H766" s="77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</row>
    <row r="767" spans="1:19" x14ac:dyDescent="0.2">
      <c r="A767" s="78"/>
      <c r="B767" s="78"/>
      <c r="C767" s="78"/>
      <c r="D767" s="78"/>
      <c r="E767" s="77"/>
      <c r="F767" s="77"/>
      <c r="G767" s="77"/>
      <c r="H767" s="77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</row>
    <row r="768" spans="1:19" x14ac:dyDescent="0.2">
      <c r="A768" s="78"/>
      <c r="B768" s="78"/>
      <c r="C768" s="78"/>
      <c r="D768" s="78"/>
      <c r="E768" s="77"/>
      <c r="F768" s="77"/>
      <c r="G768" s="77"/>
      <c r="H768" s="77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</row>
    <row r="769" spans="1:19" x14ac:dyDescent="0.2">
      <c r="A769" s="78"/>
      <c r="B769" s="78"/>
      <c r="C769" s="78"/>
      <c r="D769" s="78"/>
      <c r="E769" s="77"/>
      <c r="F769" s="77"/>
      <c r="G769" s="77"/>
      <c r="H769" s="77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</row>
    <row r="770" spans="1:19" x14ac:dyDescent="0.2">
      <c r="A770" s="78"/>
      <c r="B770" s="78"/>
      <c r="C770" s="78"/>
      <c r="D770" s="78"/>
      <c r="E770" s="77"/>
      <c r="F770" s="77"/>
      <c r="G770" s="77"/>
      <c r="H770" s="77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</row>
    <row r="771" spans="1:19" x14ac:dyDescent="0.2">
      <c r="A771" s="78"/>
      <c r="B771" s="78"/>
      <c r="C771" s="78"/>
      <c r="D771" s="78"/>
      <c r="E771" s="77"/>
      <c r="F771" s="77"/>
      <c r="G771" s="77"/>
      <c r="H771" s="77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</row>
    <row r="772" spans="1:19" x14ac:dyDescent="0.2">
      <c r="A772" s="78"/>
      <c r="B772" s="78"/>
      <c r="C772" s="78"/>
      <c r="D772" s="78"/>
      <c r="E772" s="77"/>
      <c r="F772" s="77"/>
      <c r="G772" s="77"/>
      <c r="H772" s="77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</row>
    <row r="773" spans="1:19" x14ac:dyDescent="0.2">
      <c r="A773" s="78"/>
      <c r="B773" s="78"/>
      <c r="C773" s="78"/>
      <c r="D773" s="78"/>
      <c r="E773" s="77"/>
      <c r="F773" s="77"/>
      <c r="G773" s="77"/>
      <c r="H773" s="77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</row>
    <row r="774" spans="1:19" x14ac:dyDescent="0.2">
      <c r="A774" s="78"/>
      <c r="B774" s="78"/>
      <c r="C774" s="78"/>
      <c r="D774" s="78"/>
      <c r="E774" s="77"/>
      <c r="F774" s="77"/>
      <c r="G774" s="77"/>
      <c r="H774" s="77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</row>
    <row r="775" spans="1:19" x14ac:dyDescent="0.2">
      <c r="A775" s="78"/>
      <c r="B775" s="78"/>
      <c r="C775" s="78"/>
      <c r="D775" s="78"/>
      <c r="E775" s="77"/>
      <c r="F775" s="77"/>
      <c r="G775" s="77"/>
      <c r="H775" s="77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</row>
    <row r="776" spans="1:19" x14ac:dyDescent="0.2">
      <c r="A776" s="78"/>
      <c r="B776" s="78"/>
      <c r="C776" s="78"/>
      <c r="D776" s="78"/>
      <c r="E776" s="77"/>
      <c r="F776" s="77"/>
      <c r="G776" s="77"/>
      <c r="H776" s="77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</row>
    <row r="777" spans="1:19" x14ac:dyDescent="0.2">
      <c r="A777" s="78"/>
      <c r="B777" s="78"/>
      <c r="C777" s="78"/>
      <c r="D777" s="78"/>
      <c r="E777" s="77"/>
      <c r="F777" s="77"/>
      <c r="G777" s="77"/>
      <c r="H777" s="77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</row>
    <row r="778" spans="1:19" x14ac:dyDescent="0.2">
      <c r="A778" s="78"/>
      <c r="B778" s="78"/>
      <c r="C778" s="78"/>
      <c r="D778" s="78"/>
      <c r="E778" s="77"/>
      <c r="F778" s="77"/>
      <c r="G778" s="77"/>
      <c r="H778" s="77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</row>
    <row r="779" spans="1:19" x14ac:dyDescent="0.2">
      <c r="A779" s="78"/>
      <c r="B779" s="78"/>
      <c r="C779" s="78"/>
      <c r="D779" s="78"/>
      <c r="E779" s="77"/>
      <c r="F779" s="77"/>
      <c r="G779" s="77"/>
      <c r="H779" s="77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</row>
    <row r="780" spans="1:19" x14ac:dyDescent="0.2">
      <c r="A780" s="78"/>
      <c r="B780" s="78"/>
      <c r="C780" s="78"/>
      <c r="D780" s="78"/>
      <c r="E780" s="77"/>
      <c r="F780" s="77"/>
      <c r="G780" s="77"/>
      <c r="H780" s="77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</row>
    <row r="781" spans="1:19" x14ac:dyDescent="0.2">
      <c r="A781" s="78"/>
      <c r="B781" s="78"/>
      <c r="C781" s="78"/>
      <c r="D781" s="78"/>
      <c r="E781" s="77"/>
      <c r="F781" s="77"/>
      <c r="G781" s="77"/>
      <c r="H781" s="77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</row>
    <row r="782" spans="1:19" x14ac:dyDescent="0.2">
      <c r="A782" s="78"/>
      <c r="B782" s="78"/>
      <c r="C782" s="78"/>
      <c r="D782" s="78"/>
      <c r="E782" s="77"/>
      <c r="F782" s="77"/>
      <c r="G782" s="77"/>
      <c r="H782" s="77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</row>
    <row r="783" spans="1:19" x14ac:dyDescent="0.2">
      <c r="A783" s="78"/>
      <c r="B783" s="78"/>
      <c r="C783" s="78"/>
      <c r="D783" s="78"/>
      <c r="E783" s="77"/>
      <c r="F783" s="77"/>
      <c r="G783" s="77"/>
      <c r="H783" s="77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</row>
    <row r="784" spans="1:19" x14ac:dyDescent="0.2">
      <c r="A784" s="78"/>
      <c r="B784" s="78"/>
      <c r="C784" s="78"/>
      <c r="D784" s="78"/>
      <c r="E784" s="77"/>
      <c r="F784" s="77"/>
      <c r="G784" s="77"/>
      <c r="H784" s="77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</row>
    <row r="785" spans="1:19" x14ac:dyDescent="0.2">
      <c r="A785" s="78"/>
      <c r="B785" s="78"/>
      <c r="C785" s="78"/>
      <c r="D785" s="78"/>
      <c r="E785" s="77"/>
      <c r="F785" s="77"/>
      <c r="G785" s="77"/>
      <c r="H785" s="77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</row>
    <row r="786" spans="1:19" x14ac:dyDescent="0.2">
      <c r="A786" s="78"/>
      <c r="B786" s="78"/>
      <c r="C786" s="78"/>
      <c r="D786" s="78"/>
      <c r="E786" s="77"/>
      <c r="F786" s="77"/>
      <c r="G786" s="77"/>
      <c r="H786" s="77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</row>
    <row r="787" spans="1:19" x14ac:dyDescent="0.2">
      <c r="A787" s="78"/>
      <c r="B787" s="78"/>
      <c r="C787" s="78"/>
      <c r="D787" s="78"/>
      <c r="E787" s="77"/>
      <c r="F787" s="77"/>
      <c r="G787" s="77"/>
      <c r="H787" s="77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</row>
    <row r="788" spans="1:19" x14ac:dyDescent="0.2">
      <c r="A788" s="78"/>
      <c r="B788" s="78"/>
      <c r="C788" s="78"/>
      <c r="D788" s="78"/>
      <c r="E788" s="77"/>
      <c r="F788" s="77"/>
      <c r="G788" s="77"/>
      <c r="H788" s="77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</row>
    <row r="789" spans="1:19" x14ac:dyDescent="0.2">
      <c r="A789" s="78"/>
      <c r="B789" s="78"/>
      <c r="C789" s="78"/>
      <c r="D789" s="78"/>
      <c r="E789" s="77"/>
      <c r="F789" s="77"/>
      <c r="G789" s="77"/>
      <c r="H789" s="77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</row>
    <row r="790" spans="1:19" x14ac:dyDescent="0.2">
      <c r="A790" s="78"/>
      <c r="B790" s="78"/>
      <c r="C790" s="78"/>
      <c r="D790" s="78"/>
      <c r="E790" s="77"/>
      <c r="F790" s="77"/>
      <c r="G790" s="77"/>
      <c r="H790" s="77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</row>
    <row r="791" spans="1:19" x14ac:dyDescent="0.2">
      <c r="A791" s="78"/>
      <c r="B791" s="78"/>
      <c r="C791" s="78"/>
      <c r="D791" s="78"/>
      <c r="E791" s="77"/>
      <c r="F791" s="77"/>
      <c r="G791" s="77"/>
      <c r="H791" s="77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</row>
    <row r="792" spans="1:19" x14ac:dyDescent="0.2">
      <c r="A792" s="78"/>
      <c r="B792" s="78"/>
      <c r="C792" s="78"/>
      <c r="D792" s="78"/>
      <c r="E792" s="77"/>
      <c r="F792" s="77"/>
      <c r="G792" s="77"/>
      <c r="H792" s="77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</row>
    <row r="793" spans="1:19" x14ac:dyDescent="0.2">
      <c r="A793" s="78"/>
      <c r="B793" s="78"/>
      <c r="C793" s="78"/>
      <c r="D793" s="78"/>
      <c r="E793" s="77"/>
      <c r="F793" s="77"/>
      <c r="G793" s="77"/>
      <c r="H793" s="77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</row>
    <row r="794" spans="1:19" x14ac:dyDescent="0.2">
      <c r="A794" s="78"/>
      <c r="B794" s="78"/>
      <c r="C794" s="78"/>
      <c r="D794" s="78"/>
      <c r="E794" s="77"/>
      <c r="F794" s="77"/>
      <c r="G794" s="77"/>
      <c r="H794" s="77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</row>
    <row r="795" spans="1:19" x14ac:dyDescent="0.2">
      <c r="A795" s="78"/>
      <c r="B795" s="78"/>
      <c r="C795" s="78"/>
      <c r="D795" s="78"/>
      <c r="E795" s="77"/>
      <c r="F795" s="77"/>
      <c r="G795" s="77"/>
      <c r="H795" s="77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</row>
    <row r="796" spans="1:19" x14ac:dyDescent="0.2">
      <c r="A796" s="78"/>
      <c r="B796" s="78"/>
      <c r="C796" s="78"/>
      <c r="D796" s="78"/>
      <c r="E796" s="77"/>
      <c r="F796" s="77"/>
      <c r="G796" s="77"/>
      <c r="H796" s="77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</row>
    <row r="797" spans="1:19" x14ac:dyDescent="0.2">
      <c r="A797" s="78"/>
      <c r="B797" s="78"/>
      <c r="C797" s="78"/>
      <c r="D797" s="78"/>
      <c r="E797" s="77"/>
      <c r="F797" s="77"/>
      <c r="G797" s="77"/>
      <c r="H797" s="77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</row>
    <row r="798" spans="1:19" x14ac:dyDescent="0.2">
      <c r="A798" s="78"/>
      <c r="B798" s="78"/>
      <c r="C798" s="78"/>
      <c r="D798" s="78"/>
      <c r="E798" s="77"/>
      <c r="F798" s="77"/>
      <c r="G798" s="77"/>
      <c r="H798" s="77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</row>
    <row r="799" spans="1:19" x14ac:dyDescent="0.2">
      <c r="A799" s="78"/>
      <c r="B799" s="78"/>
      <c r="C799" s="78"/>
      <c r="D799" s="78"/>
      <c r="E799" s="77"/>
      <c r="F799" s="77"/>
      <c r="G799" s="77"/>
      <c r="H799" s="77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</row>
    <row r="800" spans="1:19" x14ac:dyDescent="0.2">
      <c r="A800" s="78"/>
      <c r="B800" s="78"/>
      <c r="C800" s="78"/>
      <c r="D800" s="78"/>
      <c r="E800" s="77"/>
      <c r="F800" s="77"/>
      <c r="G800" s="77"/>
      <c r="H800" s="77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</row>
    <row r="801" spans="1:19" x14ac:dyDescent="0.2">
      <c r="A801" s="78"/>
      <c r="B801" s="78"/>
      <c r="C801" s="78"/>
      <c r="D801" s="78"/>
      <c r="E801" s="77"/>
      <c r="F801" s="77"/>
      <c r="G801" s="77"/>
      <c r="H801" s="77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</row>
    <row r="802" spans="1:19" x14ac:dyDescent="0.2">
      <c r="A802" s="78"/>
      <c r="B802" s="78"/>
      <c r="C802" s="78"/>
      <c r="D802" s="78"/>
      <c r="E802" s="77"/>
      <c r="F802" s="77"/>
      <c r="G802" s="77"/>
      <c r="H802" s="77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</row>
    <row r="803" spans="1:19" x14ac:dyDescent="0.2">
      <c r="A803" s="78"/>
      <c r="B803" s="78"/>
      <c r="C803" s="78"/>
      <c r="D803" s="78"/>
      <c r="E803" s="77"/>
      <c r="F803" s="77"/>
      <c r="G803" s="77"/>
      <c r="H803" s="77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</row>
    <row r="804" spans="1:19" x14ac:dyDescent="0.2">
      <c r="A804" s="78"/>
      <c r="B804" s="78"/>
      <c r="C804" s="78"/>
      <c r="D804" s="78"/>
      <c r="E804" s="77"/>
      <c r="F804" s="77"/>
      <c r="G804" s="77"/>
      <c r="H804" s="77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</row>
    <row r="805" spans="1:19" x14ac:dyDescent="0.2">
      <c r="A805" s="78"/>
      <c r="B805" s="78"/>
      <c r="C805" s="78"/>
      <c r="D805" s="78"/>
      <c r="E805" s="77"/>
      <c r="F805" s="77"/>
      <c r="G805" s="77"/>
      <c r="H805" s="77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</row>
    <row r="806" spans="1:19" x14ac:dyDescent="0.2">
      <c r="A806" s="78"/>
      <c r="B806" s="78"/>
      <c r="C806" s="78"/>
      <c r="D806" s="78"/>
      <c r="E806" s="77"/>
      <c r="F806" s="77"/>
      <c r="G806" s="77"/>
      <c r="H806" s="77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</row>
  </sheetData>
  <autoFilter ref="B2:H588" xr:uid="{F34D1E9E-83CC-4E7A-8B76-9D7D693D5C70}">
    <filterColumn colId="0">
      <filters>
        <filter val="CERRAMIENTO_x000a_GUACARI"/>
      </filters>
    </filterColumn>
  </autoFilter>
  <mergeCells count="1">
    <mergeCell ref="B1:H1"/>
  </mergeCells>
  <conditionalFormatting sqref="B584:B586 C509:D509 C493:D493 C471:D471 C447 C444:D444 C300:D300 C158:D158 C75:D75 C3:D3 B3:B574">
    <cfRule type="cellIs" dxfId="6" priority="10" stopIfTrue="1" operator="equal">
      <formula>"ESCRIBA AQUÍ EL NOMBRE DEL CAPITULO"</formula>
    </cfRule>
  </conditionalFormatting>
  <conditionalFormatting sqref="C29:D29 C37:D37 C39:D39 C73:D73 C110:D110 C115:D115 C127:D127 C154:D154 C156:G156 C203:D203 C233:D233 C254:D255 C266:D266 C274:D274 C279:D279 C284:D284 C288:D288 C291:D291 C296:D296 C298:D298 C329:D329 C347:D347 C358:D358 C373:D373 C388:D388 C409:D409 C414:D414 C420:D420 C423:D423 C427:D427 C431:D431 C434:D434 C440:D440 C442:D442 D447 C451:D451 C455:D455 C468:D468 C475:D475 C479:D479 C490:D490 C497:D497 C502:D502 C505:D505 C507:D507 C529:D529 C573:D573">
    <cfRule type="cellIs" dxfId="5" priority="12" stopIfTrue="1" operator="equal">
      <formula>"ESCRIBA AQUÍ EL NOMBRE DEL CAPITULO"</formula>
    </cfRule>
  </conditionalFormatting>
  <conditionalFormatting sqref="B575">
    <cfRule type="cellIs" dxfId="4" priority="9" stopIfTrue="1" operator="equal">
      <formula>"ESCRIBA AQUÍ EL NOMBRE DEL CAPITULO"</formula>
    </cfRule>
  </conditionalFormatting>
  <conditionalFormatting sqref="B587">
    <cfRule type="cellIs" dxfId="3" priority="4" stopIfTrue="1" operator="equal">
      <formula>"ESCRIBA AQUÍ EL NOMBRE DEL CAPITULO"</formula>
    </cfRule>
  </conditionalFormatting>
  <conditionalFormatting sqref="B579:B583">
    <cfRule type="cellIs" dxfId="2" priority="3" stopIfTrue="1" operator="equal">
      <formula>"ESCRIBA AQUÍ EL NOMBRE DEL CAPITULO"</formula>
    </cfRule>
  </conditionalFormatting>
  <conditionalFormatting sqref="B577:B578">
    <cfRule type="cellIs" dxfId="1" priority="2" stopIfTrue="1" operator="equal">
      <formula>"ESCRIBA AQUÍ EL NOMBRE DEL CAPITULO"</formula>
    </cfRule>
  </conditionalFormatting>
  <conditionalFormatting sqref="B576">
    <cfRule type="cellIs" dxfId="0" priority="1" stopIfTrue="1" operator="equal">
      <formula>"ESCRIBA AQUÍ EL NOMBRE DEL CAPITULO"</formula>
    </cfRule>
  </conditionalFormatting>
  <pageMargins left="0.7" right="0.7" top="0.75" bottom="0.75" header="0" footer="0"/>
  <pageSetup scale="27" fitToHeight="0" orientation="portrait" r:id="rId1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CF6BF664B0144188C8895058BA4A59" ma:contentTypeVersion="18" ma:contentTypeDescription="Crear nuevo documento." ma:contentTypeScope="" ma:versionID="8bd200bb24f29424b50b9dab8a9c0923">
  <xsd:schema xmlns:xsd="http://www.w3.org/2001/XMLSchema" xmlns:xs="http://www.w3.org/2001/XMLSchema" xmlns:p="http://schemas.microsoft.com/office/2006/metadata/properties" xmlns:ns1="http://schemas.microsoft.com/sharepoint/v3" xmlns:ns2="cf891e8c-9fd6-4c46-9e88-5dc9f2186c6f" xmlns:ns3="9acf8569-bd22-44f4-a5f9-529570a8f79e" targetNamespace="http://schemas.microsoft.com/office/2006/metadata/properties" ma:root="true" ma:fieldsID="775b443b94ceb6d504424b6bf1bfe6a6" ns1:_="" ns2:_="" ns3:_="">
    <xsd:import namespace="http://schemas.microsoft.com/sharepoint/v3"/>
    <xsd:import namespace="cf891e8c-9fd6-4c46-9e88-5dc9f2186c6f"/>
    <xsd:import namespace="9acf8569-bd22-44f4-a5f9-529570a8f7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91e8c-9fd6-4c46-9e88-5dc9f2186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82e40e41-d0f6-407c-a646-b41a5806c8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8569-bd22-44f4-a5f9-529570a8f7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4b69c3c-7362-4328-afdd-79930c68a7e9}" ma:internalName="TaxCatchAll" ma:showField="CatchAllData" ma:web="9acf8569-bd22-44f4-a5f9-529570a8f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acf8569-bd22-44f4-a5f9-529570a8f79e" xsi:nil="true"/>
    <_ip_UnifiedCompliancePolicyProperties xmlns="http://schemas.microsoft.com/sharepoint/v3" xsi:nil="true"/>
    <lcf76f155ced4ddcb4097134ff3c332f xmlns="cf891e8c-9fd6-4c46-9e88-5dc9f2186c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7916A-74A3-4764-ADCB-6CF5D1D0C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f891e8c-9fd6-4c46-9e88-5dc9f2186c6f"/>
    <ds:schemaRef ds:uri="9acf8569-bd22-44f4-a5f9-529570a8f7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C8D274-E81D-4130-87E6-A74E4B1494F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acf8569-bd22-44f4-a5f9-529570a8f79e"/>
    <ds:schemaRef ds:uri="cf891e8c-9fd6-4c46-9e88-5dc9f2186c6f"/>
  </ds:schemaRefs>
</ds:datastoreItem>
</file>

<file path=customXml/itemProps3.xml><?xml version="1.0" encoding="utf-8"?>
<ds:datastoreItem xmlns:ds="http://schemas.openxmlformats.org/officeDocument/2006/customXml" ds:itemID="{2FBE7F91-48D7-474D-AE2C-F8E26036FD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Nelson Rozo Salamanca</cp:lastModifiedBy>
  <dcterms:created xsi:type="dcterms:W3CDTF">2026-05-15T14:44:16Z</dcterms:created>
  <dcterms:modified xsi:type="dcterms:W3CDTF">2026-05-15T15:59:03Z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0x010100F2CF6BF664B0144188C8895058BA4A59</vt:lpwstr>
  </property>
</Properties>
</file>